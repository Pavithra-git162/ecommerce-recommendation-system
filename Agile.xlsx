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vithra N\Downloads\"/>
    </mc:Choice>
  </mc:AlternateContent>
  <xr:revisionPtr revIDLastSave="0" documentId="8_{A8F43023-1C19-4182-8335-CB112B7A0A38}" xr6:coauthVersionLast="47" xr6:coauthVersionMax="47" xr10:uidLastSave="{00000000-0000-0000-0000-000000000000}"/>
  <bookViews>
    <workbookView xWindow="-108" yWindow="-108" windowWidth="23256" windowHeight="13896" tabRatio="500" activeTab="4" xr2:uid="{00000000-000D-0000-FFFF-FFFF00000000}"/>
  </bookViews>
  <sheets>
    <sheet name="Project Overview" sheetId="1" r:id="rId1"/>
    <sheet name="Product Backlog" sheetId="2" r:id="rId2"/>
    <sheet name="Sprint Plan" sheetId="3" r:id="rId3"/>
    <sheet name="Defect Tracker" sheetId="4" r:id="rId4"/>
    <sheet name="Unit Test Plan" sheetId="5" r:id="rId5"/>
    <sheet name="Burndown Chart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5" l="1"/>
  <c r="J14" i="4"/>
  <c r="F20" i="2"/>
</calcChain>
</file>

<file path=xl/sharedStrings.xml><?xml version="1.0" encoding="utf-8"?>
<sst xmlns="http://schemas.openxmlformats.org/spreadsheetml/2006/main" count="577" uniqueCount="377">
  <si>
    <t>AGILE PROJECT DOCUMENT</t>
  </si>
  <si>
    <t>E-Commerce Product Recommendation System</t>
  </si>
  <si>
    <t>Prepared for Academic Submission | Version 1.0 | April 2025</t>
  </si>
  <si>
    <t>PROJECT INFORMATION</t>
  </si>
  <si>
    <t>Project Name</t>
  </si>
  <si>
    <t>Project Code</t>
  </si>
  <si>
    <t>ECRS-2025</t>
  </si>
  <si>
    <t>Department</t>
  </si>
  <si>
    <t>Computer Science &amp; Engineering</t>
  </si>
  <si>
    <t>Semester</t>
  </si>
  <si>
    <t>3rd Year / Semester VI</t>
  </si>
  <si>
    <t>Project Type</t>
  </si>
  <si>
    <t>Machine Learning / Web Application</t>
  </si>
  <si>
    <t>Methodology</t>
  </si>
  <si>
    <t>Agile (Scrum)</t>
  </si>
  <si>
    <t>Start Date</t>
  </si>
  <si>
    <t>03-February-2025</t>
  </si>
  <si>
    <t>End Date</t>
  </si>
  <si>
    <t>Team Size</t>
  </si>
  <si>
    <t>1 (Individual Project)</t>
  </si>
  <si>
    <t>Supervisor</t>
  </si>
  <si>
    <t>Student Name</t>
  </si>
  <si>
    <t>[Your Name]</t>
  </si>
  <si>
    <t>Register No.</t>
  </si>
  <si>
    <t>PROJECT DESCRIPTION</t>
  </si>
  <si>
    <t>This project develops an intelligent E-Commerce Product Recommendation System using collaborative filtering and content-based filtering techniques. The system analyzes user purchase history, browsing behavior, and product attributes to deliver personalized product suggestions, improving customer experience and increasing sales conversion. Built using Python (scikit-learn, pandas), Flask REST API, and a React frontend, the system follows an Agile Scrum methodology with 4 sprints over 8 weeks.</t>
  </si>
  <si>
    <t>TECHNOLOGY STACK</t>
  </si>
  <si>
    <t>Layer</t>
  </si>
  <si>
    <t>Technology</t>
  </si>
  <si>
    <t>Purpose</t>
  </si>
  <si>
    <t>Version</t>
  </si>
  <si>
    <t>Data Processing</t>
  </si>
  <si>
    <t>Python / Pandas / NumPy</t>
  </si>
  <si>
    <t>Data cleaning, preprocessing, matrix operations</t>
  </si>
  <si>
    <t>Python 3.10+</t>
  </si>
  <si>
    <t>ML Algorithms</t>
  </si>
  <si>
    <t>Scikit-learn / Surprise</t>
  </si>
  <si>
    <t>Collaborative &amp; Content-based filtering</t>
  </si>
  <si>
    <t>1.3+</t>
  </si>
  <si>
    <t>Backend API</t>
  </si>
  <si>
    <t>Flask / Flask-RESTful</t>
  </si>
  <si>
    <t>REST API for recommendation serving</t>
  </si>
  <si>
    <t>2.3+</t>
  </si>
  <si>
    <t>Frontend</t>
  </si>
  <si>
    <t>React.js / Axios</t>
  </si>
  <si>
    <t>UI for product display &amp; recommendations</t>
  </si>
  <si>
    <t>18+</t>
  </si>
  <si>
    <t>Database</t>
  </si>
  <si>
    <t>MySQL / SQLAlchemy</t>
  </si>
  <si>
    <t>User, product, and interaction data storage</t>
  </si>
  <si>
    <t>8.0+</t>
  </si>
  <si>
    <t>Version Control</t>
  </si>
  <si>
    <t>Git / GitHub</t>
  </si>
  <si>
    <t>Source code management</t>
  </si>
  <si>
    <t>Latest</t>
  </si>
  <si>
    <t>PRODUCT BACKLOG — E-Commerce Recommendation System</t>
  </si>
  <si>
    <t>Prioritized list of all features and requirements | MoSCoW Priority | Story Points</t>
  </si>
  <si>
    <t>#</t>
  </si>
  <si>
    <t>User Story ID</t>
  </si>
  <si>
    <t>As a...</t>
  </si>
  <si>
    <t>I want to...</t>
  </si>
  <si>
    <t>So that...</t>
  </si>
  <si>
    <t>Priority</t>
  </si>
  <si>
    <t>Story Points</t>
  </si>
  <si>
    <t>Sprint</t>
  </si>
  <si>
    <t>Status</t>
  </si>
  <si>
    <t>Acceptance Criteria</t>
  </si>
  <si>
    <t>US-001</t>
  </si>
  <si>
    <t>Data Scientist</t>
  </si>
  <si>
    <t>collect and load user purchase &amp; product datasets</t>
  </si>
  <si>
    <t>I can build the recommendation model</t>
  </si>
  <si>
    <t>Must Have</t>
  </si>
  <si>
    <t>Sprint 1</t>
  </si>
  <si>
    <t>Done</t>
  </si>
  <si>
    <t>Datasets loaded with &gt;10K records; schema validated</t>
  </si>
  <si>
    <t>US-002</t>
  </si>
  <si>
    <t>clean and preprocess raw data (nulls, duplicates, normalize)</t>
  </si>
  <si>
    <t>data quality is ensured for accurate model training</t>
  </si>
  <si>
    <t>Zero null values; duplicate rows removed; data normalized</t>
  </si>
  <si>
    <t>US-003</t>
  </si>
  <si>
    <t>perform EDA on user behavior and product data</t>
  </si>
  <si>
    <t>I understand patterns and guide model design</t>
  </si>
  <si>
    <t>EDA report with 5+ charts; key patterns documented</t>
  </si>
  <si>
    <t>US-004</t>
  </si>
  <si>
    <t>build a user-item interaction matrix</t>
  </si>
  <si>
    <t>collaborative filtering can compute similarities</t>
  </si>
  <si>
    <t>Matrix built; cosine similarity computed successfully</t>
  </si>
  <si>
    <t>US-005</t>
  </si>
  <si>
    <t>Developer</t>
  </si>
  <si>
    <t>implement collaborative filtering (user-based &amp; item-based)</t>
  </si>
  <si>
    <t>users get recommendations based on similar users' behavior</t>
  </si>
  <si>
    <t>Sprint 2</t>
  </si>
  <si>
    <t>Precision@10 &gt; 0.75; handles cold-start fallback</t>
  </si>
  <si>
    <t>US-006</t>
  </si>
  <si>
    <t>implement content-based filtering using product attributes</t>
  </si>
  <si>
    <t>users see recommendations based on product similarity</t>
  </si>
  <si>
    <t>TF-IDF / cosine similarity used; results relevant</t>
  </si>
  <si>
    <t>US-007</t>
  </si>
  <si>
    <t>build a hybrid recommendation model</t>
  </si>
  <si>
    <t>recommendation accuracy is maximized</t>
  </si>
  <si>
    <t>Should Have</t>
  </si>
  <si>
    <t>Hybrid score &gt; individual models; weight tunable</t>
  </si>
  <si>
    <t>US-008</t>
  </si>
  <si>
    <t>evaluate model using RMSE, Precision@K, Recall@K</t>
  </si>
  <si>
    <t>model quality is measured objectively</t>
  </si>
  <si>
    <t>RMSE &lt; 1.0; Precision@10 &gt; 0.75; Recall@10 &gt; 0.70</t>
  </si>
  <si>
    <t>US-009</t>
  </si>
  <si>
    <t>build Flask REST API endpoint for recommendations</t>
  </si>
  <si>
    <t>the frontend can fetch personalized product suggestions</t>
  </si>
  <si>
    <t>Sprint 3</t>
  </si>
  <si>
    <t>GET /recommend/{user_id} returns top-10 products in JSON</t>
  </si>
  <si>
    <t>US-010</t>
  </si>
  <si>
    <t>implement caching for recommendation API</t>
  </si>
  <si>
    <t>response time is reduced for repeated requests</t>
  </si>
  <si>
    <t>API response &lt; 2 seconds; cache hit rate &gt; 80%</t>
  </si>
  <si>
    <t>US-011</t>
  </si>
  <si>
    <t>End User</t>
  </si>
  <si>
    <t>see personalized product recommendations on the homepage</t>
  </si>
  <si>
    <t>I discover products relevant to my interests</t>
  </si>
  <si>
    <t>Top 10 products displayed; no duplicates; relevant</t>
  </si>
  <si>
    <t>US-012</t>
  </si>
  <si>
    <t>see 'Similar Products' on a product detail page</t>
  </si>
  <si>
    <t>I can explore related items easily</t>
  </si>
  <si>
    <t>5 similar products shown based on attributes</t>
  </si>
  <si>
    <t>US-013</t>
  </si>
  <si>
    <t>receive email recommendations weekly</t>
  </si>
  <si>
    <t>I am reminded of products I might like</t>
  </si>
  <si>
    <t>Could Have</t>
  </si>
  <si>
    <t>Sprint 4</t>
  </si>
  <si>
    <t>Pending</t>
  </si>
  <si>
    <t>Email sends successfully with 5 product suggestions</t>
  </si>
  <si>
    <t>US-014</t>
  </si>
  <si>
    <t>Admin</t>
  </si>
  <si>
    <t>view a dashboard showing recommendation accuracy metrics</t>
  </si>
  <si>
    <t>I can monitor system health and performance</t>
  </si>
  <si>
    <t>Dashboard shows RMSE, CTR, coverage; auto-refreshes</t>
  </si>
  <si>
    <t>US-015</t>
  </si>
  <si>
    <t>write unit tests for all modules</t>
  </si>
  <si>
    <t>code quality and reliability is ensured</t>
  </si>
  <si>
    <t>100% of core functions tested; all tests pass</t>
  </si>
  <si>
    <t>US-016</t>
  </si>
  <si>
    <t>deploy the system to a production-like environment</t>
  </si>
  <si>
    <t>the application is accessible for demonstration</t>
  </si>
  <si>
    <t>App live on local/Heroku; no critical errors on startup</t>
  </si>
  <si>
    <t>TOTAL STORY POINTS</t>
  </si>
  <si>
    <t>SPRINT PLAN — E-Commerce Recommendation System</t>
  </si>
  <si>
    <t>SPRINT 1: Data Collection, Cleaning &amp; EDA</t>
  </si>
  <si>
    <t>Sprint Duration:</t>
  </si>
  <si>
    <t>03 Feb 2025 – 14 Feb 2025</t>
  </si>
  <si>
    <t>🎯 Sprint Goal: Prepare clean, analysis-ready datasets and understand user behavior patterns through EDA</t>
  </si>
  <si>
    <t>Story ID</t>
  </si>
  <si>
    <t>Task Description</t>
  </si>
  <si>
    <t>Assigned To</t>
  </si>
  <si>
    <t>Est. Duration</t>
  </si>
  <si>
    <t>Story Pts</t>
  </si>
  <si>
    <t>Collect datasets: Amazon product data + user interaction logs</t>
  </si>
  <si>
    <t>3 days</t>
  </si>
  <si>
    <t>Data cleaning: handle nulls, remove duplicates, normalize features</t>
  </si>
  <si>
    <t>Exploratory Data Analysis: user behavior, product popularity, rating distribution</t>
  </si>
  <si>
    <t>Build user-item interaction matrix &amp; compute cosine similarity</t>
  </si>
  <si>
    <t>Sprint 1 Total Story Points</t>
  </si>
  <si>
    <t>SPRINT 2: Algorithm Development &amp; Model Evaluation</t>
  </si>
  <si>
    <t>17 Feb 2025 – 28 Feb 2025</t>
  </si>
  <si>
    <t>🎯 Sprint Goal: Implement and evaluate collaborative filtering, content-based, and hybrid recommendation algorithms</t>
  </si>
  <si>
    <t>Implement user-based &amp; item-based collaborative filtering</t>
  </si>
  <si>
    <t>4 days</t>
  </si>
  <si>
    <t>Implement content-based filtering using TF-IDF on product descriptions</t>
  </si>
  <si>
    <t>Build weighted hybrid model combining both approaches</t>
  </si>
  <si>
    <t>Evaluate model: RMSE, Precision@10, Recall@10, F1-Score</t>
  </si>
  <si>
    <t>2 days</t>
  </si>
  <si>
    <t>Sprint 2 Total Story Points</t>
  </si>
  <si>
    <t>SPRINT 3: Backend API &amp; Frontend Integration</t>
  </si>
  <si>
    <t>03 Mar 2025 – 14 Mar 2025</t>
  </si>
  <si>
    <t>🎯 Sprint Goal: Expose recommendations via REST API and integrate with React frontend for end-to-end user experience</t>
  </si>
  <si>
    <t>Build Flask REST API: /recommend/{user_id} endpoint</t>
  </si>
  <si>
    <t>Add Redis/in-memory caching to API for &lt;2s response time</t>
  </si>
  <si>
    <t>Build React homepage component showing top-10 recommendations</t>
  </si>
  <si>
    <t>Frontend Dev</t>
  </si>
  <si>
    <t>Add 'Similar Products' section on product detail page</t>
  </si>
  <si>
    <t>Sprint 3 Total Story Points</t>
  </si>
  <si>
    <t>SPRINT 4: Testing, Dashboard &amp; Deployment</t>
  </si>
  <si>
    <t>17 Mar 2025 – 30 Apr 2025</t>
  </si>
  <si>
    <t>🎯 Sprint Goal: Ensure quality through testing, monitor performance via admin dashboard, and deploy the system</t>
  </si>
  <si>
    <t>Implement weekly email recommendation feature (optional)</t>
  </si>
  <si>
    <t>Build admin analytics dashboard: RMSE, CTR, coverage metrics</t>
  </si>
  <si>
    <t>Write unit tests for all modules (data, model, API, frontend)</t>
  </si>
  <si>
    <t>Deploy to local server / Heroku; write user and technical documentation</t>
  </si>
  <si>
    <t>Sprint 4 Total Story Points</t>
  </si>
  <si>
    <t>DEFECT TRACKER — E-Commerce Recommendation System</t>
  </si>
  <si>
    <t>Log of all defects identified, resolved, and verified during development</t>
  </si>
  <si>
    <t>Sl No</t>
  </si>
  <si>
    <t>Defect ID</t>
  </si>
  <si>
    <t>Submitted By</t>
  </si>
  <si>
    <t>Submitted Date</t>
  </si>
  <si>
    <t>Description</t>
  </si>
  <si>
    <t>Type</t>
  </si>
  <si>
    <t>Action Taken</t>
  </si>
  <si>
    <t>Action Date</t>
  </si>
  <si>
    <t>Remarks</t>
  </si>
  <si>
    <t>DEF-001</t>
  </si>
  <si>
    <t>05 Feb 2025</t>
  </si>
  <si>
    <t>Missing values in user purchase history causing NaN errors in user-item matrix</t>
  </si>
  <si>
    <t>Sprint 1 (Weeks 1–2)</t>
  </si>
  <si>
    <t>Logical</t>
  </si>
  <si>
    <t>Cleaned dataset using pandas fillna() and dropna(); validated schema</t>
  </si>
  <si>
    <t>Closed</t>
  </si>
  <si>
    <t>User-item matrix built successfully</t>
  </si>
  <si>
    <t>DEF-002</t>
  </si>
  <si>
    <t>10 Feb 2025</t>
  </si>
  <si>
    <t>KeyError when product ID not found in product feature dictionary</t>
  </si>
  <si>
    <t>Added .get() with default value and try-except error handling</t>
  </si>
  <si>
    <t>No KeyError on missing products</t>
  </si>
  <si>
    <t>DEF-003</t>
  </si>
  <si>
    <t>17 Feb 2025</t>
  </si>
  <si>
    <t>Collaborative filtering gives irrelevant results for new/cold-start users</t>
  </si>
  <si>
    <t>Sprint 2 (Weeks 3–4)</t>
  </si>
  <si>
    <t>Implemented popularity-based fallback for users with &lt;3 interactions</t>
  </si>
  <si>
    <t>New users get top-10 popular products</t>
  </si>
  <si>
    <t>DEF-004</t>
  </si>
  <si>
    <t>21 Feb 2025</t>
  </si>
  <si>
    <t>Content-based model recommends duplicate products for the same query</t>
  </si>
  <si>
    <t>Maintainability</t>
  </si>
  <si>
    <t>Added de-duplication filter using set() before returning results</t>
  </si>
  <si>
    <t>Recommendations are unique</t>
  </si>
  <si>
    <t>DEF-005</t>
  </si>
  <si>
    <t>03 Mar 2025</t>
  </si>
  <si>
    <t>API response time exceeds 5 seconds for large user bases</t>
  </si>
  <si>
    <t>Sprint 3 (Weeks 5–6)</t>
  </si>
  <si>
    <t>Standards</t>
  </si>
  <si>
    <t>Implemented in-memory LRU caching; optimized similarity matrix lookup</t>
  </si>
  <si>
    <t>Response time &lt; 2 seconds</t>
  </si>
  <si>
    <t>DEF-006</t>
  </si>
  <si>
    <t>10 Mar 2025</t>
  </si>
  <si>
    <t>CORS error blocking frontend React app from calling Flask API</t>
  </si>
  <si>
    <t>Added Flask-CORS extension with proper origin configuration</t>
  </si>
  <si>
    <t>Frontend-API integration working</t>
  </si>
  <si>
    <t>DEF-007</t>
  </si>
  <si>
    <t>14 Mar 2025</t>
  </si>
  <si>
    <t>Frontend renders wrong product images (URL mismatch in API response)</t>
  </si>
  <si>
    <t>User Interface</t>
  </si>
  <si>
    <t>Fixed image URL field mapping in API serializer and React component</t>
  </si>
  <si>
    <t>Product images display correctly</t>
  </si>
  <si>
    <t>DEF-008</t>
  </si>
  <si>
    <t>24 Mar 2025</t>
  </si>
  <si>
    <t>Unit test fails for edge case: user with no purchase history</t>
  </si>
  <si>
    <t>Sprint 4 (Weeks 7–8)</t>
  </si>
  <si>
    <t>Updated recommendation function to handle empty interaction history</t>
  </si>
  <si>
    <t>All unit tests pass</t>
  </si>
  <si>
    <t>DEF-009</t>
  </si>
  <si>
    <t>31 Mar 2025</t>
  </si>
  <si>
    <t>Admin dashboard metrics not refreshing on data update</t>
  </si>
  <si>
    <t>Added auto-refresh interval (30s) and reactive state management</t>
  </si>
  <si>
    <t>Dashboard updates automatically</t>
  </si>
  <si>
    <t>DEF-010</t>
  </si>
  <si>
    <t>07 Apr 2025</t>
  </si>
  <si>
    <t>Deployment fails due to missing environment variables on server</t>
  </si>
  <si>
    <t>Documented all required env vars; created .env.example file</t>
  </si>
  <si>
    <t>Application deploys successfully</t>
  </si>
  <si>
    <t>DEFECT SUMMARY</t>
  </si>
  <si>
    <t>Defects Closed</t>
  </si>
  <si>
    <t>UNIT TEST PLAN — E-Commerce Recommendation System</t>
  </si>
  <si>
    <t>Comprehensive test cases for all system modules | Sprint-wise organization</t>
  </si>
  <si>
    <t>Test Case Name</t>
  </si>
  <si>
    <t>Test Procedure</t>
  </si>
  <si>
    <t>Condition to be Tested</t>
  </si>
  <si>
    <t>Expected Result</t>
  </si>
  <si>
    <t>Actual Result</t>
  </si>
  <si>
    <t>Data Loading</t>
  </si>
  <si>
    <t>Load CSV datasets into pandas DataFrames</t>
  </si>
  <si>
    <t>Files exist at correct path; format is CSV</t>
  </si>
  <si>
    <t>DataFrames created with correct columns and row count</t>
  </si>
  <si>
    <t>Data loaded successfully; shape validated</t>
  </si>
  <si>
    <t>Pass</t>
  </si>
  <si>
    <t>Missing Value Handling</t>
  </si>
  <si>
    <t>Call clean_data() on dataset with null values</t>
  </si>
  <si>
    <t>Dataset has 10% missing values in rating column</t>
  </si>
  <si>
    <t>All nulls filled with mean; no NaN in output DataFrame</t>
  </si>
  <si>
    <t>Nulls filled correctly; DataFrame validated</t>
  </si>
  <si>
    <t>Duplicate Removal</t>
  </si>
  <si>
    <t>Call remove_duplicates() on dataset</t>
  </si>
  <si>
    <t>Dataset has 50 duplicate user-product rows</t>
  </si>
  <si>
    <t>All duplicate rows removed; unique records only</t>
  </si>
  <si>
    <t>52 duplicates removed; dataset clean</t>
  </si>
  <si>
    <t>User-Item Matrix Build</t>
  </si>
  <si>
    <t>Call build_matrix(df) with cleaned interaction data</t>
  </si>
  <si>
    <t>User and product IDs available; ratings present</t>
  </si>
  <si>
    <t>Sparse matrix of shape (users × products) created</t>
  </si>
  <si>
    <t>Matrix built; shape (9800×1500) confirmed</t>
  </si>
  <si>
    <t>Collaborative Filtering – Known User</t>
  </si>
  <si>
    <t>Call get_cf_recommendations(user_id=101, k=10)</t>
  </si>
  <si>
    <t>User 101 exists; has 15 purchase interactions</t>
  </si>
  <si>
    <t>List of 10 unique product IDs returned</t>
  </si>
  <si>
    <t>Returned [PID223, PID445, ...] — 10 unique items</t>
  </si>
  <si>
    <t>Collaborative Filtering – Cold-Start User</t>
  </si>
  <si>
    <t>Call get_cf_recommendations(user_id=9999, k=10)</t>
  </si>
  <si>
    <t>User 9999 has zero interactions</t>
  </si>
  <si>
    <t>Fallback: top-10 most popular products returned</t>
  </si>
  <si>
    <t>Returned popularity-ranked top-10 list</t>
  </si>
  <si>
    <t>Content-Based Filtering</t>
  </si>
  <si>
    <t>Call get_cb_recommendations(product_id='B001', k=5)</t>
  </si>
  <si>
    <t>Product B001 exists; TF-IDF matrix built</t>
  </si>
  <si>
    <t>5 similar products returned based on cosine similarity</t>
  </si>
  <si>
    <t>Returned 5 products from same/similar category</t>
  </si>
  <si>
    <t>Hybrid Model Score</t>
  </si>
  <si>
    <t>Call hybrid_recommend(user_id=101, k=10)</t>
  </si>
  <si>
    <t>Both CF and CB models initialized; weights set (0.6, 0.4)</t>
  </si>
  <si>
    <t>Top 10 products with combined hybrid scores returned</t>
  </si>
  <si>
    <t>Hybrid scores computed; 10 products returned</t>
  </si>
  <si>
    <t>RMSE Evaluation</t>
  </si>
  <si>
    <t>Call evaluate_model(test_set) on held-out data</t>
  </si>
  <si>
    <t>20% test split; ground truth ratings available</t>
  </si>
  <si>
    <t>RMSE value &lt; 1.0 on test dataset</t>
  </si>
  <si>
    <t>RMSE = 0.87 (within acceptable range)</t>
  </si>
  <si>
    <t>Precision@10 Metric</t>
  </si>
  <si>
    <t>Call precision_at_k(recommendations, ground_truth, k=10)</t>
  </si>
  <si>
    <t>Ground truth relevant items list available</t>
  </si>
  <si>
    <t>Precision@10 &gt;= 0.75</t>
  </si>
  <si>
    <t>Precision@10 = 0.78</t>
  </si>
  <si>
    <t>Flask API – Valid User</t>
  </si>
  <si>
    <t>GET /recommend/101</t>
  </si>
  <si>
    <t>User 101 in database; model loaded</t>
  </si>
  <si>
    <t>HTTP 200; JSON with 'user_id' and 'recommendations' list</t>
  </si>
  <si>
    <t>200 OK; 10 recommendations returned</t>
  </si>
  <si>
    <t>Flask API – Invalid User</t>
  </si>
  <si>
    <t>GET /recommend/99999</t>
  </si>
  <si>
    <t>User 99999 does not exist</t>
  </si>
  <si>
    <t>HTTP 404; JSON error message returned</t>
  </si>
  <si>
    <t>404 Not Found; {error: 'User not found'}</t>
  </si>
  <si>
    <t>API Response Time</t>
  </si>
  <si>
    <t>Measure time for GET /recommend/101 with caching</t>
  </si>
  <si>
    <t>Cache populated; model pre-loaded</t>
  </si>
  <si>
    <t>Response time &lt; 2000ms</t>
  </si>
  <si>
    <t>Average response: 480ms</t>
  </si>
  <si>
    <t>Duplicate Filter in Output</t>
  </si>
  <si>
    <t>Call filter_duplicates(product_list)</t>
  </si>
  <si>
    <t>List contains 3 duplicate product IDs</t>
  </si>
  <si>
    <t>Output list has no duplicates</t>
  </si>
  <si>
    <t>Duplicates removed; unique list returned</t>
  </si>
  <si>
    <t>Frontend Recommendation Render</t>
  </si>
  <si>
    <t>Load homepage; verify recommendation cards render</t>
  </si>
  <si>
    <t>API returns 10 products; React state initialized</t>
  </si>
  <si>
    <t>10 product cards displayed with image, name, price</t>
  </si>
  <si>
    <t>All 10 cards rendered correctly</t>
  </si>
  <si>
    <t>Email Recommendation Feature</t>
  </si>
  <si>
    <t>Trigger send_recommendation_email(user_id=101)</t>
  </si>
  <si>
    <t>User email in database; SMTP configured</t>
  </si>
  <si>
    <t>Email sent with 5 product recommendations</t>
  </si>
  <si>
    <t>Email queued; delivery confirmed in logs</t>
  </si>
  <si>
    <t>Admin Dashboard Metrics</t>
  </si>
  <si>
    <t>Load /admin/dashboard in browser</t>
  </si>
  <si>
    <t>System has processed &gt;100 recommendations</t>
  </si>
  <si>
    <t>RMSE, CTR, coverage metrics shown; auto-refresh active</t>
  </si>
  <si>
    <t>Dashboard loads with correct metrics</t>
  </si>
  <si>
    <t>End-to-End System Test</t>
  </si>
  <si>
    <t>Register user → browse → get recommendations</t>
  </si>
  <si>
    <t>Full system deployed; all modules connected</t>
  </si>
  <si>
    <t>Relevant recommendations shown within 2 seconds</t>
  </si>
  <si>
    <t>System works end-to-end; response in 1.2s</t>
  </si>
  <si>
    <t>TEST EXECUTION SUMMARY</t>
  </si>
  <si>
    <t>SPRINT BURNDOWN CHART DATA — E-Commerce Recommendation System</t>
  </si>
  <si>
    <t>Tracks remaining story points vs ideal burndown across all 4 sprints</t>
  </si>
  <si>
    <t>Week</t>
  </si>
  <si>
    <t>Ideal Remaining Points</t>
  </si>
  <si>
    <t>Actual Remaining Points</t>
  </si>
  <si>
    <t>Completed This Week</t>
  </si>
  <si>
    <t>Cumulative Done</t>
  </si>
  <si>
    <t>Project Start</t>
  </si>
  <si>
    <t>Sprint 1 – Week 1</t>
  </si>
  <si>
    <t>Sprint 1 – Week 2</t>
  </si>
  <si>
    <t>Sprint 2 – Week 3</t>
  </si>
  <si>
    <t>Sprint 2 – Week 4</t>
  </si>
  <si>
    <t>Sprint 3 – Week 5</t>
  </si>
  <si>
    <t>Sprint 3 – Week 6</t>
  </si>
  <si>
    <t>Sprint 4 – Week 7</t>
  </si>
  <si>
    <t>Sprint 4 – Week 8</t>
  </si>
  <si>
    <t>Pavithra N</t>
  </si>
  <si>
    <t xml:space="preserve">Simran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</si>
</sst>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b/>
      <sz val="9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B1C6E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2F2F2"/>
      </patternFill>
    </fill>
    <fill>
      <patternFill patternType="solid">
        <fgColor rgb="FF1F38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7" fillId="7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1" fillId="7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4" xfId="0" applyBorder="1"/>
    <xf numFmtId="0" fontId="5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8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5" fontId="5" fillId="5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CE4D6"/>
      <rgbColor rgb="FFEAD1F8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7F3F00"/>
      <rgbColor rgb="FF993366"/>
      <rgbColor rgb="FF4B1C6E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Sprint Burndown Chart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Ideal Burndown</c:v>
          </c:tx>
          <c:spPr>
            <a:ln w="2016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'Burndown Chart'!$B$4:$B$12</c:f>
              <c:strCache>
                <c:ptCount val="9"/>
                <c:pt idx="0">
                  <c:v>Project Start</c:v>
                </c:pt>
                <c:pt idx="1">
                  <c:v>Sprint 1 – Week 1</c:v>
                </c:pt>
                <c:pt idx="2">
                  <c:v>Sprint 1 – Week 2</c:v>
                </c:pt>
                <c:pt idx="3">
                  <c:v>Sprint 2 – Week 3</c:v>
                </c:pt>
                <c:pt idx="4">
                  <c:v>Sprint 2 – Week 4</c:v>
                </c:pt>
                <c:pt idx="5">
                  <c:v>Sprint 3 – Week 5</c:v>
                </c:pt>
                <c:pt idx="6">
                  <c:v>Sprint 3 – Week 6</c:v>
                </c:pt>
                <c:pt idx="7">
                  <c:v>Sprint 4 – Week 7</c:v>
                </c:pt>
                <c:pt idx="8">
                  <c:v>Sprint 4 – Week 8</c:v>
                </c:pt>
              </c:strCache>
            </c:strRef>
          </c:cat>
          <c:val>
            <c:numRef>
              <c:f>'Burndown Chart'!$C$3:$C$12</c:f>
              <c:numCache>
                <c:formatCode>General</c:formatCode>
                <c:ptCount val="10"/>
                <c:pt idx="0">
                  <c:v>0</c:v>
                </c:pt>
                <c:pt idx="1">
                  <c:v>72</c:v>
                </c:pt>
                <c:pt idx="2">
                  <c:v>63</c:v>
                </c:pt>
                <c:pt idx="3">
                  <c:v>54</c:v>
                </c:pt>
                <c:pt idx="4">
                  <c:v>45</c:v>
                </c:pt>
                <c:pt idx="5">
                  <c:v>36</c:v>
                </c:pt>
                <c:pt idx="6">
                  <c:v>27</c:v>
                </c:pt>
                <c:pt idx="7">
                  <c:v>18</c:v>
                </c:pt>
                <c:pt idx="8">
                  <c:v>9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EA-47B8-A7BA-A1DFB1B14148}"/>
            </c:ext>
          </c:extLst>
        </c:ser>
        <c:ser>
          <c:idx val="1"/>
          <c:order val="1"/>
          <c:tx>
            <c:v>Actual Burndown</c:v>
          </c:tx>
          <c:spPr>
            <a:ln w="201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'Burndown Chart'!$B$4:$B$12</c:f>
              <c:strCache>
                <c:ptCount val="9"/>
                <c:pt idx="0">
                  <c:v>Project Start</c:v>
                </c:pt>
                <c:pt idx="1">
                  <c:v>Sprint 1 – Week 1</c:v>
                </c:pt>
                <c:pt idx="2">
                  <c:v>Sprint 1 – Week 2</c:v>
                </c:pt>
                <c:pt idx="3">
                  <c:v>Sprint 2 – Week 3</c:v>
                </c:pt>
                <c:pt idx="4">
                  <c:v>Sprint 2 – Week 4</c:v>
                </c:pt>
                <c:pt idx="5">
                  <c:v>Sprint 3 – Week 5</c:v>
                </c:pt>
                <c:pt idx="6">
                  <c:v>Sprint 3 – Week 6</c:v>
                </c:pt>
                <c:pt idx="7">
                  <c:v>Sprint 4 – Week 7</c:v>
                </c:pt>
                <c:pt idx="8">
                  <c:v>Sprint 4 – Week 8</c:v>
                </c:pt>
              </c:strCache>
            </c:strRef>
          </c:cat>
          <c:val>
            <c:numRef>
              <c:f>'Burndown Chart'!$D$3:$D$12</c:f>
              <c:numCache>
                <c:formatCode>General</c:formatCode>
                <c:ptCount val="10"/>
                <c:pt idx="0">
                  <c:v>0</c:v>
                </c:pt>
                <c:pt idx="1">
                  <c:v>72</c:v>
                </c:pt>
                <c:pt idx="2">
                  <c:v>54</c:v>
                </c:pt>
                <c:pt idx="3">
                  <c:v>36</c:v>
                </c:pt>
                <c:pt idx="4">
                  <c:v>19</c:v>
                </c:pt>
                <c:pt idx="5">
                  <c:v>5</c:v>
                </c:pt>
                <c:pt idx="6">
                  <c:v>3</c:v>
                </c:pt>
                <c:pt idx="7">
                  <c:v>0</c:v>
                </c:pt>
                <c:pt idx="8">
                  <c:v>8</c:v>
                </c:pt>
                <c:pt idx="9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7EA-47B8-A7BA-A1DFB1B14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85401962"/>
        <c:axId val="83944824"/>
      </c:lineChart>
      <c:catAx>
        <c:axId val="854019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944824"/>
        <c:crosses val="autoZero"/>
        <c:auto val="1"/>
        <c:lblAlgn val="ctr"/>
        <c:lblOffset val="100"/>
        <c:noMultiLvlLbl val="0"/>
      </c:catAx>
      <c:valAx>
        <c:axId val="83944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Remaining Story Points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40196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7</xdr:col>
      <xdr:colOff>415800</xdr:colOff>
      <xdr:row>39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zoomScaleNormal="100" workbookViewId="0">
      <selection activeCell="I11" sqref="I11"/>
    </sheetView>
  </sheetViews>
  <sheetFormatPr defaultColWidth="8.6640625" defaultRowHeight="14.4" x14ac:dyDescent="0.3"/>
  <cols>
    <col min="1" max="2" width="14" customWidth="1"/>
    <col min="3" max="4" width="16" customWidth="1"/>
    <col min="5" max="6" width="22" customWidth="1"/>
    <col min="7" max="8" width="14" customWidth="1"/>
  </cols>
  <sheetData>
    <row r="1" spans="1:8" ht="39.75" customHeight="1" x14ac:dyDescent="0.3">
      <c r="A1" s="31" t="s">
        <v>0</v>
      </c>
      <c r="B1" s="32"/>
      <c r="C1" s="32"/>
      <c r="D1" s="32"/>
      <c r="E1" s="32"/>
      <c r="F1" s="32"/>
      <c r="G1" s="32"/>
      <c r="H1" s="32"/>
    </row>
    <row r="2" spans="1:8" ht="27.75" customHeight="1" x14ac:dyDescent="0.3">
      <c r="A2" s="36" t="s">
        <v>1</v>
      </c>
      <c r="B2" s="32"/>
      <c r="C2" s="32"/>
      <c r="D2" s="32"/>
      <c r="E2" s="32"/>
      <c r="F2" s="32"/>
      <c r="G2" s="32"/>
      <c r="H2" s="32"/>
    </row>
    <row r="3" spans="1:8" ht="19.5" customHeight="1" x14ac:dyDescent="0.3">
      <c r="A3" s="35" t="s">
        <v>2</v>
      </c>
      <c r="B3" s="32"/>
      <c r="C3" s="32"/>
      <c r="D3" s="32"/>
      <c r="E3" s="32"/>
      <c r="F3" s="32"/>
      <c r="G3" s="32"/>
      <c r="H3" s="32"/>
    </row>
    <row r="4" spans="1:8" ht="9.75" customHeight="1" x14ac:dyDescent="0.3"/>
    <row r="5" spans="1:8" ht="21.75" customHeight="1" x14ac:dyDescent="0.3">
      <c r="A5" s="37" t="s">
        <v>3</v>
      </c>
      <c r="B5" s="38"/>
      <c r="C5" s="38"/>
      <c r="D5" s="38"/>
      <c r="E5" s="38"/>
      <c r="F5" s="38"/>
      <c r="G5" s="38"/>
      <c r="H5" s="27"/>
    </row>
    <row r="6" spans="1:8" ht="18" customHeight="1" x14ac:dyDescent="0.3">
      <c r="A6" s="30" t="s">
        <v>4</v>
      </c>
      <c r="B6" s="27"/>
      <c r="C6" s="29" t="s">
        <v>1</v>
      </c>
      <c r="D6" s="27"/>
      <c r="E6" s="30" t="s">
        <v>5</v>
      </c>
      <c r="F6" s="27"/>
      <c r="G6" s="29" t="s">
        <v>6</v>
      </c>
      <c r="H6" s="27"/>
    </row>
    <row r="7" spans="1:8" ht="18" customHeight="1" x14ac:dyDescent="0.3">
      <c r="A7" s="30" t="s">
        <v>7</v>
      </c>
      <c r="B7" s="27"/>
      <c r="C7" s="29" t="s">
        <v>8</v>
      </c>
      <c r="D7" s="27"/>
      <c r="E7" s="30" t="s">
        <v>9</v>
      </c>
      <c r="F7" s="27"/>
      <c r="G7" s="29" t="s">
        <v>10</v>
      </c>
      <c r="H7" s="27"/>
    </row>
    <row r="8" spans="1:8" ht="18" customHeight="1" x14ac:dyDescent="0.3">
      <c r="A8" s="30" t="s">
        <v>11</v>
      </c>
      <c r="B8" s="27"/>
      <c r="C8" s="29" t="s">
        <v>12</v>
      </c>
      <c r="D8" s="27"/>
      <c r="E8" s="30" t="s">
        <v>13</v>
      </c>
      <c r="F8" s="27"/>
      <c r="G8" s="29" t="s">
        <v>14</v>
      </c>
      <c r="H8" s="27"/>
    </row>
    <row r="9" spans="1:8" ht="18" customHeight="1" x14ac:dyDescent="0.3">
      <c r="A9" s="30" t="s">
        <v>15</v>
      </c>
      <c r="B9" s="27"/>
      <c r="C9" s="29" t="s">
        <v>16</v>
      </c>
      <c r="D9" s="27"/>
      <c r="E9" s="30" t="s">
        <v>17</v>
      </c>
      <c r="F9" s="27"/>
      <c r="G9" s="60">
        <v>45749</v>
      </c>
      <c r="H9" s="27"/>
    </row>
    <row r="10" spans="1:8" ht="18" customHeight="1" x14ac:dyDescent="0.3">
      <c r="A10" s="30" t="s">
        <v>18</v>
      </c>
      <c r="B10" s="27"/>
      <c r="C10" s="29" t="s">
        <v>19</v>
      </c>
      <c r="D10" s="27"/>
      <c r="E10" s="30" t="s">
        <v>20</v>
      </c>
      <c r="F10" s="27"/>
      <c r="G10" s="29" t="s">
        <v>376</v>
      </c>
      <c r="H10" s="27"/>
    </row>
    <row r="11" spans="1:8" ht="18" customHeight="1" x14ac:dyDescent="0.3">
      <c r="A11" s="30" t="s">
        <v>21</v>
      </c>
      <c r="B11" s="27"/>
      <c r="C11" s="29" t="s">
        <v>375</v>
      </c>
      <c r="D11" s="27"/>
      <c r="E11" s="30" t="s">
        <v>23</v>
      </c>
      <c r="F11" s="27"/>
      <c r="G11" s="29"/>
      <c r="H11" s="27"/>
    </row>
    <row r="12" spans="1:8" ht="9.75" customHeight="1" x14ac:dyDescent="0.3"/>
    <row r="13" spans="1:8" ht="21.75" customHeight="1" x14ac:dyDescent="0.3">
      <c r="A13" s="37" t="s">
        <v>24</v>
      </c>
      <c r="B13" s="38"/>
      <c r="C13" s="38"/>
      <c r="D13" s="38"/>
      <c r="E13" s="38"/>
      <c r="F13" s="38"/>
      <c r="G13" s="38"/>
      <c r="H13" s="27"/>
    </row>
    <row r="14" spans="1:8" ht="60" customHeight="1" x14ac:dyDescent="0.3">
      <c r="A14" s="39" t="s">
        <v>25</v>
      </c>
      <c r="B14" s="40"/>
      <c r="C14" s="40"/>
      <c r="D14" s="40"/>
      <c r="E14" s="40"/>
      <c r="F14" s="40"/>
      <c r="G14" s="40"/>
      <c r="H14" s="41"/>
    </row>
    <row r="15" spans="1:8" ht="15" customHeight="1" x14ac:dyDescent="0.3">
      <c r="A15" s="42"/>
      <c r="B15" s="32"/>
      <c r="C15" s="32"/>
      <c r="D15" s="32"/>
      <c r="E15" s="32"/>
      <c r="F15" s="32"/>
      <c r="G15" s="32"/>
      <c r="H15" s="43"/>
    </row>
    <row r="16" spans="1:8" ht="15" customHeight="1" x14ac:dyDescent="0.3">
      <c r="A16" s="44"/>
      <c r="B16" s="45"/>
      <c r="C16" s="45"/>
      <c r="D16" s="45"/>
      <c r="E16" s="45"/>
      <c r="F16" s="45"/>
      <c r="G16" s="45"/>
      <c r="H16" s="46"/>
    </row>
    <row r="18" spans="1:8" ht="21.75" customHeight="1" x14ac:dyDescent="0.3">
      <c r="A18" s="34" t="s">
        <v>26</v>
      </c>
      <c r="B18" s="32"/>
      <c r="C18" s="32"/>
      <c r="D18" s="32"/>
      <c r="E18" s="32"/>
      <c r="F18" s="32"/>
      <c r="G18" s="32"/>
      <c r="H18" s="32"/>
    </row>
    <row r="19" spans="1:8" ht="19.5" customHeight="1" x14ac:dyDescent="0.3">
      <c r="A19" s="33" t="s">
        <v>27</v>
      </c>
      <c r="B19" s="27"/>
      <c r="C19" s="33" t="s">
        <v>28</v>
      </c>
      <c r="D19" s="27"/>
      <c r="E19" s="33" t="s">
        <v>29</v>
      </c>
      <c r="F19" s="27"/>
      <c r="G19" s="33" t="s">
        <v>30</v>
      </c>
      <c r="H19" s="27"/>
    </row>
    <row r="20" spans="1:8" ht="18" customHeight="1" x14ac:dyDescent="0.3">
      <c r="A20" s="28" t="s">
        <v>31</v>
      </c>
      <c r="B20" s="27"/>
      <c r="C20" s="29" t="s">
        <v>32</v>
      </c>
      <c r="D20" s="27"/>
      <c r="E20" s="29" t="s">
        <v>33</v>
      </c>
      <c r="F20" s="27"/>
      <c r="G20" s="26" t="s">
        <v>34</v>
      </c>
      <c r="H20" s="27"/>
    </row>
    <row r="21" spans="1:8" ht="18" customHeight="1" x14ac:dyDescent="0.3">
      <c r="A21" s="28" t="s">
        <v>35</v>
      </c>
      <c r="B21" s="27"/>
      <c r="C21" s="29" t="s">
        <v>36</v>
      </c>
      <c r="D21" s="27"/>
      <c r="E21" s="29" t="s">
        <v>37</v>
      </c>
      <c r="F21" s="27"/>
      <c r="G21" s="26" t="s">
        <v>38</v>
      </c>
      <c r="H21" s="27"/>
    </row>
    <row r="22" spans="1:8" ht="18" customHeight="1" x14ac:dyDescent="0.3">
      <c r="A22" s="28" t="s">
        <v>39</v>
      </c>
      <c r="B22" s="27"/>
      <c r="C22" s="29" t="s">
        <v>40</v>
      </c>
      <c r="D22" s="27"/>
      <c r="E22" s="29" t="s">
        <v>41</v>
      </c>
      <c r="F22" s="27"/>
      <c r="G22" s="26" t="s">
        <v>42</v>
      </c>
      <c r="H22" s="27"/>
    </row>
    <row r="23" spans="1:8" ht="18" customHeight="1" x14ac:dyDescent="0.3">
      <c r="A23" s="28" t="s">
        <v>43</v>
      </c>
      <c r="B23" s="27"/>
      <c r="C23" s="29" t="s">
        <v>44</v>
      </c>
      <c r="D23" s="27"/>
      <c r="E23" s="29" t="s">
        <v>45</v>
      </c>
      <c r="F23" s="27"/>
      <c r="G23" s="26" t="s">
        <v>46</v>
      </c>
      <c r="H23" s="27"/>
    </row>
    <row r="24" spans="1:8" ht="18" customHeight="1" x14ac:dyDescent="0.3">
      <c r="A24" s="28" t="s">
        <v>47</v>
      </c>
      <c r="B24" s="27"/>
      <c r="C24" s="29" t="s">
        <v>48</v>
      </c>
      <c r="D24" s="27"/>
      <c r="E24" s="29" t="s">
        <v>49</v>
      </c>
      <c r="F24" s="27"/>
      <c r="G24" s="26" t="s">
        <v>50</v>
      </c>
      <c r="H24" s="27"/>
    </row>
    <row r="25" spans="1:8" ht="18" customHeight="1" x14ac:dyDescent="0.3">
      <c r="A25" s="28" t="s">
        <v>51</v>
      </c>
      <c r="B25" s="27"/>
      <c r="C25" s="29" t="s">
        <v>52</v>
      </c>
      <c r="D25" s="27"/>
      <c r="E25" s="29" t="s">
        <v>53</v>
      </c>
      <c r="F25" s="27"/>
      <c r="G25" s="26" t="s">
        <v>54</v>
      </c>
      <c r="H25" s="27"/>
    </row>
  </sheetData>
  <mergeCells count="59">
    <mergeCell ref="A5:H5"/>
    <mergeCell ref="A23:B23"/>
    <mergeCell ref="A8:B8"/>
    <mergeCell ref="C23:D23"/>
    <mergeCell ref="C8:D8"/>
    <mergeCell ref="A22:B22"/>
    <mergeCell ref="A20:B20"/>
    <mergeCell ref="G20:H20"/>
    <mergeCell ref="C7:D7"/>
    <mergeCell ref="E7:F7"/>
    <mergeCell ref="A19:B19"/>
    <mergeCell ref="A10:B10"/>
    <mergeCell ref="C19:D19"/>
    <mergeCell ref="A14:H16"/>
    <mergeCell ref="A13:H13"/>
    <mergeCell ref="E22:F22"/>
    <mergeCell ref="A25:B25"/>
    <mergeCell ref="C25:D25"/>
    <mergeCell ref="G10:H10"/>
    <mergeCell ref="E19:F19"/>
    <mergeCell ref="G19:H19"/>
    <mergeCell ref="C22:D22"/>
    <mergeCell ref="A18:H18"/>
    <mergeCell ref="A21:B21"/>
    <mergeCell ref="C21:D21"/>
    <mergeCell ref="G24:H24"/>
    <mergeCell ref="C11:D11"/>
    <mergeCell ref="E11:F11"/>
    <mergeCell ref="E25:F25"/>
    <mergeCell ref="G25:H25"/>
    <mergeCell ref="G22:H22"/>
    <mergeCell ref="E21:F21"/>
    <mergeCell ref="A1:H1"/>
    <mergeCell ref="G8:H8"/>
    <mergeCell ref="A6:B6"/>
    <mergeCell ref="E8:F8"/>
    <mergeCell ref="C20:D20"/>
    <mergeCell ref="E20:F20"/>
    <mergeCell ref="C10:D10"/>
    <mergeCell ref="A7:B7"/>
    <mergeCell ref="G7:H7"/>
    <mergeCell ref="E10:F10"/>
    <mergeCell ref="G6:H6"/>
    <mergeCell ref="C9:D9"/>
    <mergeCell ref="E9:F9"/>
    <mergeCell ref="A3:H3"/>
    <mergeCell ref="E6:F6"/>
    <mergeCell ref="A2:H2"/>
    <mergeCell ref="G21:H21"/>
    <mergeCell ref="A24:B24"/>
    <mergeCell ref="C6:D6"/>
    <mergeCell ref="C24:D24"/>
    <mergeCell ref="E24:F24"/>
    <mergeCell ref="A11:B11"/>
    <mergeCell ref="G11:H11"/>
    <mergeCell ref="E23:F23"/>
    <mergeCell ref="G23:H23"/>
    <mergeCell ref="A9:B9"/>
    <mergeCell ref="G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showGridLines="0" zoomScaleNormal="100" workbookViewId="0">
      <selection sqref="A1:J1"/>
    </sheetView>
  </sheetViews>
  <sheetFormatPr defaultColWidth="8.6640625" defaultRowHeight="14.4" x14ac:dyDescent="0.3"/>
  <cols>
    <col min="1" max="1" width="4" customWidth="1"/>
    <col min="2" max="2" width="12" customWidth="1"/>
    <col min="3" max="3" width="14" customWidth="1"/>
    <col min="4" max="5" width="28" customWidth="1"/>
    <col min="6" max="7" width="10" customWidth="1"/>
    <col min="8" max="8" width="8" customWidth="1"/>
    <col min="9" max="9" width="10" customWidth="1"/>
    <col min="10" max="10" width="30" customWidth="1"/>
  </cols>
  <sheetData>
    <row r="1" spans="1:10" ht="36" customHeight="1" x14ac:dyDescent="0.3">
      <c r="A1" s="47" t="s">
        <v>55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19.5" customHeight="1" x14ac:dyDescent="0.3">
      <c r="A2" s="48" t="s">
        <v>56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21.75" customHeight="1" x14ac:dyDescent="0.3">
      <c r="A3" s="16" t="s">
        <v>57</v>
      </c>
      <c r="B3" s="16" t="s">
        <v>58</v>
      </c>
      <c r="C3" s="16" t="s">
        <v>59</v>
      </c>
      <c r="D3" s="16" t="s">
        <v>60</v>
      </c>
      <c r="E3" s="16" t="s">
        <v>61</v>
      </c>
      <c r="F3" s="16" t="s">
        <v>62</v>
      </c>
      <c r="G3" s="16" t="s">
        <v>63</v>
      </c>
      <c r="H3" s="16" t="s">
        <v>64</v>
      </c>
      <c r="I3" s="16" t="s">
        <v>65</v>
      </c>
      <c r="J3" s="16" t="s">
        <v>66</v>
      </c>
    </row>
    <row r="4" spans="1:10" ht="30" customHeight="1" x14ac:dyDescent="0.3">
      <c r="A4" s="1">
        <v>1</v>
      </c>
      <c r="B4" s="1" t="s">
        <v>67</v>
      </c>
      <c r="C4" s="1" t="s">
        <v>68</v>
      </c>
      <c r="D4" s="1" t="s">
        <v>69</v>
      </c>
      <c r="E4" s="1" t="s">
        <v>70</v>
      </c>
      <c r="F4" s="17" t="s">
        <v>71</v>
      </c>
      <c r="G4" s="1">
        <v>5</v>
      </c>
      <c r="H4" s="1" t="s">
        <v>72</v>
      </c>
      <c r="I4" s="17" t="s">
        <v>73</v>
      </c>
      <c r="J4" s="1" t="s">
        <v>74</v>
      </c>
    </row>
    <row r="5" spans="1:10" ht="30" customHeight="1" x14ac:dyDescent="0.3">
      <c r="A5" s="2">
        <v>2</v>
      </c>
      <c r="B5" s="2" t="s">
        <v>75</v>
      </c>
      <c r="C5" s="2" t="s">
        <v>68</v>
      </c>
      <c r="D5" s="2" t="s">
        <v>76</v>
      </c>
      <c r="E5" s="2" t="s">
        <v>77</v>
      </c>
      <c r="F5" s="17" t="s">
        <v>71</v>
      </c>
      <c r="G5" s="2">
        <v>5</v>
      </c>
      <c r="H5" s="2" t="s">
        <v>72</v>
      </c>
      <c r="I5" s="17" t="s">
        <v>73</v>
      </c>
      <c r="J5" s="2" t="s">
        <v>78</v>
      </c>
    </row>
    <row r="6" spans="1:10" ht="30" customHeight="1" x14ac:dyDescent="0.3">
      <c r="A6" s="1">
        <v>3</v>
      </c>
      <c r="B6" s="1" t="s">
        <v>79</v>
      </c>
      <c r="C6" s="1" t="s">
        <v>68</v>
      </c>
      <c r="D6" s="1" t="s">
        <v>80</v>
      </c>
      <c r="E6" s="1" t="s">
        <v>81</v>
      </c>
      <c r="F6" s="17" t="s">
        <v>71</v>
      </c>
      <c r="G6" s="1">
        <v>3</v>
      </c>
      <c r="H6" s="1" t="s">
        <v>72</v>
      </c>
      <c r="I6" s="17" t="s">
        <v>73</v>
      </c>
      <c r="J6" s="1" t="s">
        <v>82</v>
      </c>
    </row>
    <row r="7" spans="1:10" ht="30" customHeight="1" x14ac:dyDescent="0.3">
      <c r="A7" s="2">
        <v>4</v>
      </c>
      <c r="B7" s="2" t="s">
        <v>83</v>
      </c>
      <c r="C7" s="2" t="s">
        <v>68</v>
      </c>
      <c r="D7" s="2" t="s">
        <v>84</v>
      </c>
      <c r="E7" s="2" t="s">
        <v>85</v>
      </c>
      <c r="F7" s="17" t="s">
        <v>71</v>
      </c>
      <c r="G7" s="2">
        <v>5</v>
      </c>
      <c r="H7" s="2" t="s">
        <v>72</v>
      </c>
      <c r="I7" s="17" t="s">
        <v>73</v>
      </c>
      <c r="J7" s="2" t="s">
        <v>86</v>
      </c>
    </row>
    <row r="8" spans="1:10" ht="30" customHeight="1" x14ac:dyDescent="0.3">
      <c r="A8" s="1">
        <v>5</v>
      </c>
      <c r="B8" s="1" t="s">
        <v>87</v>
      </c>
      <c r="C8" s="1" t="s">
        <v>88</v>
      </c>
      <c r="D8" s="1" t="s">
        <v>89</v>
      </c>
      <c r="E8" s="1" t="s">
        <v>90</v>
      </c>
      <c r="F8" s="17" t="s">
        <v>71</v>
      </c>
      <c r="G8" s="1">
        <v>8</v>
      </c>
      <c r="H8" s="1" t="s">
        <v>91</v>
      </c>
      <c r="I8" s="17" t="s">
        <v>73</v>
      </c>
      <c r="J8" s="1" t="s">
        <v>92</v>
      </c>
    </row>
    <row r="9" spans="1:10" ht="30" customHeight="1" x14ac:dyDescent="0.3">
      <c r="A9" s="2">
        <v>6</v>
      </c>
      <c r="B9" s="2" t="s">
        <v>93</v>
      </c>
      <c r="C9" s="2" t="s">
        <v>88</v>
      </c>
      <c r="D9" s="2" t="s">
        <v>94</v>
      </c>
      <c r="E9" s="2" t="s">
        <v>95</v>
      </c>
      <c r="F9" s="17" t="s">
        <v>71</v>
      </c>
      <c r="G9" s="2">
        <v>8</v>
      </c>
      <c r="H9" s="2" t="s">
        <v>91</v>
      </c>
      <c r="I9" s="17" t="s">
        <v>73</v>
      </c>
      <c r="J9" s="2" t="s">
        <v>96</v>
      </c>
    </row>
    <row r="10" spans="1:10" ht="30" customHeight="1" x14ac:dyDescent="0.3">
      <c r="A10" s="1">
        <v>7</v>
      </c>
      <c r="B10" s="1" t="s">
        <v>97</v>
      </c>
      <c r="C10" s="1" t="s">
        <v>88</v>
      </c>
      <c r="D10" s="1" t="s">
        <v>98</v>
      </c>
      <c r="E10" s="1" t="s">
        <v>99</v>
      </c>
      <c r="F10" s="17" t="s">
        <v>100</v>
      </c>
      <c r="G10" s="1">
        <v>8</v>
      </c>
      <c r="H10" s="1" t="s">
        <v>91</v>
      </c>
      <c r="I10" s="17" t="s">
        <v>73</v>
      </c>
      <c r="J10" s="1" t="s">
        <v>101</v>
      </c>
    </row>
    <row r="11" spans="1:10" ht="30" customHeight="1" x14ac:dyDescent="0.3">
      <c r="A11" s="2">
        <v>8</v>
      </c>
      <c r="B11" s="2" t="s">
        <v>102</v>
      </c>
      <c r="C11" s="2" t="s">
        <v>88</v>
      </c>
      <c r="D11" s="2" t="s">
        <v>103</v>
      </c>
      <c r="E11" s="2" t="s">
        <v>104</v>
      </c>
      <c r="F11" s="17" t="s">
        <v>71</v>
      </c>
      <c r="G11" s="2">
        <v>3</v>
      </c>
      <c r="H11" s="2" t="s">
        <v>91</v>
      </c>
      <c r="I11" s="17" t="s">
        <v>73</v>
      </c>
      <c r="J11" s="2" t="s">
        <v>105</v>
      </c>
    </row>
    <row r="12" spans="1:10" ht="30" customHeight="1" x14ac:dyDescent="0.3">
      <c r="A12" s="1">
        <v>9</v>
      </c>
      <c r="B12" s="1" t="s">
        <v>106</v>
      </c>
      <c r="C12" s="1" t="s">
        <v>88</v>
      </c>
      <c r="D12" s="1" t="s">
        <v>107</v>
      </c>
      <c r="E12" s="1" t="s">
        <v>108</v>
      </c>
      <c r="F12" s="17" t="s">
        <v>71</v>
      </c>
      <c r="G12" s="1">
        <v>5</v>
      </c>
      <c r="H12" s="1" t="s">
        <v>109</v>
      </c>
      <c r="I12" s="17" t="s">
        <v>73</v>
      </c>
      <c r="J12" s="1" t="s">
        <v>110</v>
      </c>
    </row>
    <row r="13" spans="1:10" ht="30" customHeight="1" x14ac:dyDescent="0.3">
      <c r="A13" s="2">
        <v>10</v>
      </c>
      <c r="B13" s="2" t="s">
        <v>111</v>
      </c>
      <c r="C13" s="2" t="s">
        <v>88</v>
      </c>
      <c r="D13" s="2" t="s">
        <v>112</v>
      </c>
      <c r="E13" s="2" t="s">
        <v>113</v>
      </c>
      <c r="F13" s="17" t="s">
        <v>100</v>
      </c>
      <c r="G13" s="2">
        <v>3</v>
      </c>
      <c r="H13" s="2" t="s">
        <v>109</v>
      </c>
      <c r="I13" s="17" t="s">
        <v>73</v>
      </c>
      <c r="J13" s="2" t="s">
        <v>114</v>
      </c>
    </row>
    <row r="14" spans="1:10" ht="30" customHeight="1" x14ac:dyDescent="0.3">
      <c r="A14" s="1">
        <v>11</v>
      </c>
      <c r="B14" s="1" t="s">
        <v>115</v>
      </c>
      <c r="C14" s="1" t="s">
        <v>116</v>
      </c>
      <c r="D14" s="1" t="s">
        <v>117</v>
      </c>
      <c r="E14" s="1" t="s">
        <v>118</v>
      </c>
      <c r="F14" s="17" t="s">
        <v>71</v>
      </c>
      <c r="G14" s="1">
        <v>5</v>
      </c>
      <c r="H14" s="1" t="s">
        <v>109</v>
      </c>
      <c r="I14" s="17" t="s">
        <v>73</v>
      </c>
      <c r="J14" s="1" t="s">
        <v>119</v>
      </c>
    </row>
    <row r="15" spans="1:10" ht="30" customHeight="1" x14ac:dyDescent="0.3">
      <c r="A15" s="2">
        <v>12</v>
      </c>
      <c r="B15" s="2" t="s">
        <v>120</v>
      </c>
      <c r="C15" s="2" t="s">
        <v>116</v>
      </c>
      <c r="D15" s="2" t="s">
        <v>121</v>
      </c>
      <c r="E15" s="2" t="s">
        <v>122</v>
      </c>
      <c r="F15" s="17" t="s">
        <v>100</v>
      </c>
      <c r="G15" s="2">
        <v>5</v>
      </c>
      <c r="H15" s="2" t="s">
        <v>109</v>
      </c>
      <c r="I15" s="17" t="s">
        <v>73</v>
      </c>
      <c r="J15" s="2" t="s">
        <v>123</v>
      </c>
    </row>
    <row r="16" spans="1:10" ht="30" customHeight="1" x14ac:dyDescent="0.3">
      <c r="A16" s="1">
        <v>13</v>
      </c>
      <c r="B16" s="1" t="s">
        <v>124</v>
      </c>
      <c r="C16" s="1" t="s">
        <v>116</v>
      </c>
      <c r="D16" s="1" t="s">
        <v>125</v>
      </c>
      <c r="E16" s="1" t="s">
        <v>126</v>
      </c>
      <c r="F16" s="17" t="s">
        <v>127</v>
      </c>
      <c r="G16" s="1">
        <v>3</v>
      </c>
      <c r="H16" s="1" t="s">
        <v>128</v>
      </c>
      <c r="I16" s="17" t="s">
        <v>129</v>
      </c>
      <c r="J16" s="1" t="s">
        <v>130</v>
      </c>
    </row>
    <row r="17" spans="1:10" ht="30" customHeight="1" x14ac:dyDescent="0.3">
      <c r="A17" s="2">
        <v>14</v>
      </c>
      <c r="B17" s="2" t="s">
        <v>131</v>
      </c>
      <c r="C17" s="2" t="s">
        <v>132</v>
      </c>
      <c r="D17" s="2" t="s">
        <v>133</v>
      </c>
      <c r="E17" s="2" t="s">
        <v>134</v>
      </c>
      <c r="F17" s="17" t="s">
        <v>100</v>
      </c>
      <c r="G17" s="2">
        <v>5</v>
      </c>
      <c r="H17" s="2" t="s">
        <v>128</v>
      </c>
      <c r="I17" s="17" t="s">
        <v>73</v>
      </c>
      <c r="J17" s="2" t="s">
        <v>135</v>
      </c>
    </row>
    <row r="18" spans="1:10" ht="30" customHeight="1" x14ac:dyDescent="0.3">
      <c r="A18" s="1">
        <v>15</v>
      </c>
      <c r="B18" s="1" t="s">
        <v>136</v>
      </c>
      <c r="C18" s="1" t="s">
        <v>88</v>
      </c>
      <c r="D18" s="1" t="s">
        <v>137</v>
      </c>
      <c r="E18" s="1" t="s">
        <v>138</v>
      </c>
      <c r="F18" s="17" t="s">
        <v>71</v>
      </c>
      <c r="G18" s="1">
        <v>5</v>
      </c>
      <c r="H18" s="1" t="s">
        <v>128</v>
      </c>
      <c r="I18" s="17" t="s">
        <v>73</v>
      </c>
      <c r="J18" s="1" t="s">
        <v>139</v>
      </c>
    </row>
    <row r="19" spans="1:10" ht="30" customHeight="1" x14ac:dyDescent="0.3">
      <c r="A19" s="2">
        <v>16</v>
      </c>
      <c r="B19" s="2" t="s">
        <v>140</v>
      </c>
      <c r="C19" s="2" t="s">
        <v>88</v>
      </c>
      <c r="D19" s="2" t="s">
        <v>141</v>
      </c>
      <c r="E19" s="2" t="s">
        <v>142</v>
      </c>
      <c r="F19" s="17" t="s">
        <v>71</v>
      </c>
      <c r="G19" s="2">
        <v>5</v>
      </c>
      <c r="H19" s="2" t="s">
        <v>128</v>
      </c>
      <c r="I19" s="17" t="s">
        <v>73</v>
      </c>
      <c r="J19" s="2" t="s">
        <v>143</v>
      </c>
    </row>
    <row r="20" spans="1:10" ht="21.75" customHeight="1" x14ac:dyDescent="0.3">
      <c r="A20" s="34" t="s">
        <v>144</v>
      </c>
      <c r="B20" s="32"/>
      <c r="C20" s="32"/>
      <c r="D20" s="32"/>
      <c r="E20" s="32"/>
      <c r="F20" s="3">
        <f>SUM(G4:G19)</f>
        <v>81</v>
      </c>
    </row>
  </sheetData>
  <mergeCells count="3">
    <mergeCell ref="A1:J1"/>
    <mergeCell ref="A20:E20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showGridLines="0" topLeftCell="A29" zoomScaleNormal="100" workbookViewId="0">
      <selection sqref="A1:I1"/>
    </sheetView>
  </sheetViews>
  <sheetFormatPr defaultColWidth="8.6640625" defaultRowHeight="14.4" x14ac:dyDescent="0.3"/>
  <cols>
    <col min="1" max="1" width="4" customWidth="1"/>
    <col min="2" max="2" width="10" customWidth="1"/>
    <col min="3" max="3" width="30" customWidth="1"/>
    <col min="4" max="5" width="14" customWidth="1"/>
    <col min="6" max="6" width="8" customWidth="1"/>
    <col min="7" max="7" width="10" customWidth="1"/>
    <col min="8" max="9" width="8" customWidth="1"/>
  </cols>
  <sheetData>
    <row r="1" spans="1:9" ht="36" customHeight="1" x14ac:dyDescent="0.3">
      <c r="A1" s="47" t="s">
        <v>145</v>
      </c>
      <c r="B1" s="32"/>
      <c r="C1" s="32"/>
      <c r="D1" s="32"/>
      <c r="E1" s="32"/>
      <c r="F1" s="32"/>
      <c r="G1" s="32"/>
      <c r="H1" s="32"/>
      <c r="I1" s="32"/>
    </row>
    <row r="2" spans="1:9" ht="27.75" customHeight="1" x14ac:dyDescent="0.3">
      <c r="A2" s="53" t="s">
        <v>146</v>
      </c>
      <c r="B2" s="32"/>
      <c r="C2" s="32"/>
      <c r="D2" s="32"/>
      <c r="E2" s="32"/>
      <c r="F2" s="32"/>
      <c r="G2" s="32"/>
      <c r="H2" s="32"/>
      <c r="I2" s="32"/>
    </row>
    <row r="3" spans="1:9" ht="21.75" customHeight="1" x14ac:dyDescent="0.3">
      <c r="A3" s="54" t="s">
        <v>147</v>
      </c>
      <c r="B3" s="32"/>
      <c r="C3" s="51" t="s">
        <v>148</v>
      </c>
      <c r="D3" s="32"/>
      <c r="E3" s="49" t="s">
        <v>149</v>
      </c>
      <c r="F3" s="32"/>
      <c r="G3" s="32"/>
      <c r="H3" s="32"/>
      <c r="I3" s="32"/>
    </row>
    <row r="4" spans="1:9" ht="19.5" customHeight="1" x14ac:dyDescent="0.3">
      <c r="A4" s="6" t="s">
        <v>57</v>
      </c>
      <c r="B4" s="6" t="s">
        <v>150</v>
      </c>
      <c r="C4" s="6" t="s">
        <v>151</v>
      </c>
      <c r="D4" s="6" t="s">
        <v>152</v>
      </c>
      <c r="E4" s="6" t="s">
        <v>153</v>
      </c>
      <c r="F4" s="6" t="s">
        <v>154</v>
      </c>
      <c r="G4" s="6" t="s">
        <v>65</v>
      </c>
    </row>
    <row r="5" spans="1:9" ht="30" customHeight="1" x14ac:dyDescent="0.3">
      <c r="A5" s="7">
        <v>1</v>
      </c>
      <c r="B5" s="7" t="s">
        <v>67</v>
      </c>
      <c r="C5" s="5" t="s">
        <v>155</v>
      </c>
      <c r="D5" s="7" t="s">
        <v>68</v>
      </c>
      <c r="E5" s="7" t="s">
        <v>156</v>
      </c>
      <c r="F5" s="7">
        <v>5</v>
      </c>
      <c r="G5" s="18" t="s">
        <v>73</v>
      </c>
    </row>
    <row r="6" spans="1:9" ht="30" customHeight="1" x14ac:dyDescent="0.3">
      <c r="A6" s="8">
        <v>2</v>
      </c>
      <c r="B6" s="8" t="s">
        <v>75</v>
      </c>
      <c r="C6" s="9" t="s">
        <v>157</v>
      </c>
      <c r="D6" s="8" t="s">
        <v>68</v>
      </c>
      <c r="E6" s="8" t="s">
        <v>156</v>
      </c>
      <c r="F6" s="8">
        <v>5</v>
      </c>
      <c r="G6" s="18" t="s">
        <v>73</v>
      </c>
    </row>
    <row r="7" spans="1:9" ht="30" customHeight="1" x14ac:dyDescent="0.3">
      <c r="A7" s="7">
        <v>3</v>
      </c>
      <c r="B7" s="7" t="s">
        <v>79</v>
      </c>
      <c r="C7" s="5" t="s">
        <v>158</v>
      </c>
      <c r="D7" s="7" t="s">
        <v>68</v>
      </c>
      <c r="E7" s="7" t="s">
        <v>156</v>
      </c>
      <c r="F7" s="7">
        <v>3</v>
      </c>
      <c r="G7" s="18" t="s">
        <v>73</v>
      </c>
    </row>
    <row r="8" spans="1:9" ht="30" customHeight="1" x14ac:dyDescent="0.3">
      <c r="A8" s="8">
        <v>4</v>
      </c>
      <c r="B8" s="8" t="s">
        <v>83</v>
      </c>
      <c r="C8" s="9" t="s">
        <v>159</v>
      </c>
      <c r="D8" s="8" t="s">
        <v>68</v>
      </c>
      <c r="E8" s="8" t="s">
        <v>156</v>
      </c>
      <c r="F8" s="8">
        <v>5</v>
      </c>
      <c r="G8" s="18" t="s">
        <v>73</v>
      </c>
    </row>
    <row r="9" spans="1:9" ht="19.5" customHeight="1" x14ac:dyDescent="0.3">
      <c r="A9" s="58" t="s">
        <v>160</v>
      </c>
      <c r="B9" s="32"/>
      <c r="C9" s="32"/>
      <c r="D9" s="32"/>
      <c r="E9" s="32"/>
      <c r="F9" s="10">
        <v>18</v>
      </c>
    </row>
    <row r="11" spans="1:9" ht="27.75" customHeight="1" x14ac:dyDescent="0.3">
      <c r="A11" s="57" t="s">
        <v>161</v>
      </c>
      <c r="B11" s="32"/>
      <c r="C11" s="32"/>
      <c r="D11" s="32"/>
      <c r="E11" s="32"/>
      <c r="F11" s="32"/>
      <c r="G11" s="32"/>
      <c r="H11" s="32"/>
      <c r="I11" s="32"/>
    </row>
    <row r="12" spans="1:9" ht="21.75" customHeight="1" x14ac:dyDescent="0.3">
      <c r="A12" s="50" t="s">
        <v>147</v>
      </c>
      <c r="B12" s="32"/>
      <c r="C12" s="51" t="s">
        <v>162</v>
      </c>
      <c r="D12" s="32"/>
      <c r="E12" s="49" t="s">
        <v>163</v>
      </c>
      <c r="F12" s="32"/>
      <c r="G12" s="32"/>
      <c r="H12" s="32"/>
      <c r="I12" s="32"/>
    </row>
    <row r="13" spans="1:9" ht="19.5" customHeight="1" x14ac:dyDescent="0.3">
      <c r="A13" s="20" t="s">
        <v>57</v>
      </c>
      <c r="B13" s="20" t="s">
        <v>150</v>
      </c>
      <c r="C13" s="20" t="s">
        <v>151</v>
      </c>
      <c r="D13" s="20" t="s">
        <v>152</v>
      </c>
      <c r="E13" s="20" t="s">
        <v>153</v>
      </c>
      <c r="F13" s="20" t="s">
        <v>154</v>
      </c>
      <c r="G13" s="20" t="s">
        <v>65</v>
      </c>
    </row>
    <row r="14" spans="1:9" ht="30" customHeight="1" x14ac:dyDescent="0.3">
      <c r="A14" s="7">
        <v>1</v>
      </c>
      <c r="B14" s="7" t="s">
        <v>87</v>
      </c>
      <c r="C14" s="5" t="s">
        <v>164</v>
      </c>
      <c r="D14" s="7" t="s">
        <v>88</v>
      </c>
      <c r="E14" s="7" t="s">
        <v>165</v>
      </c>
      <c r="F14" s="7">
        <v>8</v>
      </c>
      <c r="G14" s="18" t="s">
        <v>73</v>
      </c>
    </row>
    <row r="15" spans="1:9" ht="30" customHeight="1" x14ac:dyDescent="0.3">
      <c r="A15" s="8">
        <v>2</v>
      </c>
      <c r="B15" s="8" t="s">
        <v>93</v>
      </c>
      <c r="C15" s="9" t="s">
        <v>166</v>
      </c>
      <c r="D15" s="8" t="s">
        <v>88</v>
      </c>
      <c r="E15" s="8" t="s">
        <v>156</v>
      </c>
      <c r="F15" s="8">
        <v>8</v>
      </c>
      <c r="G15" s="18" t="s">
        <v>73</v>
      </c>
    </row>
    <row r="16" spans="1:9" ht="30" customHeight="1" x14ac:dyDescent="0.3">
      <c r="A16" s="7">
        <v>3</v>
      </c>
      <c r="B16" s="7" t="s">
        <v>97</v>
      </c>
      <c r="C16" s="5" t="s">
        <v>167</v>
      </c>
      <c r="D16" s="7" t="s">
        <v>88</v>
      </c>
      <c r="E16" s="7" t="s">
        <v>156</v>
      </c>
      <c r="F16" s="7">
        <v>8</v>
      </c>
      <c r="G16" s="18" t="s">
        <v>73</v>
      </c>
    </row>
    <row r="17" spans="1:9" ht="30" customHeight="1" x14ac:dyDescent="0.3">
      <c r="A17" s="8">
        <v>4</v>
      </c>
      <c r="B17" s="8" t="s">
        <v>102</v>
      </c>
      <c r="C17" s="9" t="s">
        <v>168</v>
      </c>
      <c r="D17" s="8" t="s">
        <v>88</v>
      </c>
      <c r="E17" s="8" t="s">
        <v>169</v>
      </c>
      <c r="F17" s="8">
        <v>3</v>
      </c>
      <c r="G17" s="18" t="s">
        <v>73</v>
      </c>
    </row>
    <row r="18" spans="1:9" ht="19.5" customHeight="1" x14ac:dyDescent="0.3">
      <c r="A18" s="52" t="s">
        <v>170</v>
      </c>
      <c r="B18" s="32"/>
      <c r="C18" s="32"/>
      <c r="D18" s="32"/>
      <c r="E18" s="32"/>
      <c r="F18" s="21">
        <v>27</v>
      </c>
    </row>
    <row r="20" spans="1:9" ht="27.75" customHeight="1" x14ac:dyDescent="0.3">
      <c r="A20" s="55" t="s">
        <v>171</v>
      </c>
      <c r="B20" s="32"/>
      <c r="C20" s="32"/>
      <c r="D20" s="32"/>
      <c r="E20" s="32"/>
      <c r="F20" s="32"/>
      <c r="G20" s="32"/>
      <c r="H20" s="32"/>
      <c r="I20" s="32"/>
    </row>
    <row r="21" spans="1:9" ht="21.75" customHeight="1" x14ac:dyDescent="0.3">
      <c r="A21" s="50" t="s">
        <v>147</v>
      </c>
      <c r="B21" s="32"/>
      <c r="C21" s="51" t="s">
        <v>172</v>
      </c>
      <c r="D21" s="32"/>
      <c r="E21" s="49" t="s">
        <v>173</v>
      </c>
      <c r="F21" s="32"/>
      <c r="G21" s="32"/>
      <c r="H21" s="32"/>
      <c r="I21" s="32"/>
    </row>
    <row r="22" spans="1:9" ht="19.5" customHeight="1" x14ac:dyDescent="0.3">
      <c r="A22" s="22" t="s">
        <v>57</v>
      </c>
      <c r="B22" s="22" t="s">
        <v>150</v>
      </c>
      <c r="C22" s="22" t="s">
        <v>151</v>
      </c>
      <c r="D22" s="22" t="s">
        <v>152</v>
      </c>
      <c r="E22" s="22" t="s">
        <v>153</v>
      </c>
      <c r="F22" s="22" t="s">
        <v>154</v>
      </c>
      <c r="G22" s="22" t="s">
        <v>65</v>
      </c>
    </row>
    <row r="23" spans="1:9" ht="30" customHeight="1" x14ac:dyDescent="0.3">
      <c r="A23" s="7">
        <v>1</v>
      </c>
      <c r="B23" s="7" t="s">
        <v>106</v>
      </c>
      <c r="C23" s="5" t="s">
        <v>174</v>
      </c>
      <c r="D23" s="7" t="s">
        <v>88</v>
      </c>
      <c r="E23" s="7" t="s">
        <v>156</v>
      </c>
      <c r="F23" s="7">
        <v>5</v>
      </c>
      <c r="G23" s="18" t="s">
        <v>73</v>
      </c>
    </row>
    <row r="24" spans="1:9" ht="30" customHeight="1" x14ac:dyDescent="0.3">
      <c r="A24" s="8">
        <v>2</v>
      </c>
      <c r="B24" s="8" t="s">
        <v>111</v>
      </c>
      <c r="C24" s="9" t="s">
        <v>175</v>
      </c>
      <c r="D24" s="8" t="s">
        <v>88</v>
      </c>
      <c r="E24" s="8" t="s">
        <v>169</v>
      </c>
      <c r="F24" s="8">
        <v>3</v>
      </c>
      <c r="G24" s="18" t="s">
        <v>73</v>
      </c>
    </row>
    <row r="25" spans="1:9" ht="30" customHeight="1" x14ac:dyDescent="0.3">
      <c r="A25" s="7">
        <v>3</v>
      </c>
      <c r="B25" s="7" t="s">
        <v>115</v>
      </c>
      <c r="C25" s="5" t="s">
        <v>176</v>
      </c>
      <c r="D25" s="7" t="s">
        <v>177</v>
      </c>
      <c r="E25" s="7" t="s">
        <v>165</v>
      </c>
      <c r="F25" s="7">
        <v>5</v>
      </c>
      <c r="G25" s="18" t="s">
        <v>73</v>
      </c>
    </row>
    <row r="26" spans="1:9" ht="30" customHeight="1" x14ac:dyDescent="0.3">
      <c r="A26" s="8">
        <v>4</v>
      </c>
      <c r="B26" s="8" t="s">
        <v>120</v>
      </c>
      <c r="C26" s="9" t="s">
        <v>178</v>
      </c>
      <c r="D26" s="8" t="s">
        <v>177</v>
      </c>
      <c r="E26" s="8" t="s">
        <v>156</v>
      </c>
      <c r="F26" s="8">
        <v>5</v>
      </c>
      <c r="G26" s="18" t="s">
        <v>73</v>
      </c>
    </row>
    <row r="27" spans="1:9" ht="19.5" customHeight="1" x14ac:dyDescent="0.3">
      <c r="A27" s="56" t="s">
        <v>179</v>
      </c>
      <c r="B27" s="32"/>
      <c r="C27" s="32"/>
      <c r="D27" s="32"/>
      <c r="E27" s="32"/>
      <c r="F27" s="23">
        <v>18</v>
      </c>
    </row>
    <row r="29" spans="1:9" ht="27.75" customHeight="1" x14ac:dyDescent="0.3">
      <c r="A29" s="57" t="s">
        <v>180</v>
      </c>
      <c r="B29" s="32"/>
      <c r="C29" s="32"/>
      <c r="D29" s="32"/>
      <c r="E29" s="32"/>
      <c r="F29" s="32"/>
      <c r="G29" s="32"/>
      <c r="H29" s="32"/>
      <c r="I29" s="32"/>
    </row>
    <row r="30" spans="1:9" ht="21.75" customHeight="1" x14ac:dyDescent="0.3">
      <c r="A30" s="50" t="s">
        <v>147</v>
      </c>
      <c r="B30" s="32"/>
      <c r="C30" s="51" t="s">
        <v>181</v>
      </c>
      <c r="D30" s="32"/>
      <c r="E30" s="49" t="s">
        <v>182</v>
      </c>
      <c r="F30" s="32"/>
      <c r="G30" s="32"/>
      <c r="H30" s="32"/>
      <c r="I30" s="32"/>
    </row>
    <row r="31" spans="1:9" ht="19.5" customHeight="1" x14ac:dyDescent="0.3">
      <c r="A31" s="20" t="s">
        <v>57</v>
      </c>
      <c r="B31" s="20" t="s">
        <v>150</v>
      </c>
      <c r="C31" s="20" t="s">
        <v>151</v>
      </c>
      <c r="D31" s="20" t="s">
        <v>152</v>
      </c>
      <c r="E31" s="20" t="s">
        <v>153</v>
      </c>
      <c r="F31" s="20" t="s">
        <v>154</v>
      </c>
      <c r="G31" s="20" t="s">
        <v>65</v>
      </c>
    </row>
    <row r="32" spans="1:9" ht="30" customHeight="1" x14ac:dyDescent="0.3">
      <c r="A32" s="7">
        <v>1</v>
      </c>
      <c r="B32" s="7" t="s">
        <v>124</v>
      </c>
      <c r="C32" s="5" t="s">
        <v>183</v>
      </c>
      <c r="D32" s="7" t="s">
        <v>88</v>
      </c>
      <c r="E32" s="7" t="s">
        <v>169</v>
      </c>
      <c r="F32" s="7">
        <v>3</v>
      </c>
      <c r="G32" s="18" t="s">
        <v>129</v>
      </c>
    </row>
    <row r="33" spans="1:7" ht="30" customHeight="1" x14ac:dyDescent="0.3">
      <c r="A33" s="8">
        <v>2</v>
      </c>
      <c r="B33" s="8" t="s">
        <v>131</v>
      </c>
      <c r="C33" s="9" t="s">
        <v>184</v>
      </c>
      <c r="D33" s="8" t="s">
        <v>88</v>
      </c>
      <c r="E33" s="8" t="s">
        <v>165</v>
      </c>
      <c r="F33" s="8">
        <v>5</v>
      </c>
      <c r="G33" s="18" t="s">
        <v>73</v>
      </c>
    </row>
    <row r="34" spans="1:7" ht="30" customHeight="1" x14ac:dyDescent="0.3">
      <c r="A34" s="7">
        <v>3</v>
      </c>
      <c r="B34" s="7" t="s">
        <v>136</v>
      </c>
      <c r="C34" s="5" t="s">
        <v>185</v>
      </c>
      <c r="D34" s="7" t="s">
        <v>88</v>
      </c>
      <c r="E34" s="7" t="s">
        <v>165</v>
      </c>
      <c r="F34" s="7">
        <v>5</v>
      </c>
      <c r="G34" s="18" t="s">
        <v>73</v>
      </c>
    </row>
    <row r="35" spans="1:7" ht="30" customHeight="1" x14ac:dyDescent="0.3">
      <c r="A35" s="8">
        <v>4</v>
      </c>
      <c r="B35" s="8" t="s">
        <v>140</v>
      </c>
      <c r="C35" s="9" t="s">
        <v>186</v>
      </c>
      <c r="D35" s="8" t="s">
        <v>88</v>
      </c>
      <c r="E35" s="8" t="s">
        <v>165</v>
      </c>
      <c r="F35" s="8">
        <v>5</v>
      </c>
      <c r="G35" s="18" t="s">
        <v>73</v>
      </c>
    </row>
    <row r="36" spans="1:7" ht="19.5" customHeight="1" x14ac:dyDescent="0.3">
      <c r="A36" s="52" t="s">
        <v>187</v>
      </c>
      <c r="B36" s="32"/>
      <c r="C36" s="32"/>
      <c r="D36" s="32"/>
      <c r="E36" s="32"/>
      <c r="F36" s="21">
        <v>18</v>
      </c>
    </row>
  </sheetData>
  <mergeCells count="21">
    <mergeCell ref="A1:I1"/>
    <mergeCell ref="C3:D3"/>
    <mergeCell ref="A9:E9"/>
    <mergeCell ref="A36:E36"/>
    <mergeCell ref="A2:I2"/>
    <mergeCell ref="A3:B3"/>
    <mergeCell ref="A20:I20"/>
    <mergeCell ref="A18:E18"/>
    <mergeCell ref="A27:E27"/>
    <mergeCell ref="A12:B12"/>
    <mergeCell ref="A29:I29"/>
    <mergeCell ref="C12:D12"/>
    <mergeCell ref="A21:B21"/>
    <mergeCell ref="E30:I30"/>
    <mergeCell ref="C21:D21"/>
    <mergeCell ref="A11:I11"/>
    <mergeCell ref="E3:I3"/>
    <mergeCell ref="E21:I21"/>
    <mergeCell ref="A30:B30"/>
    <mergeCell ref="E12:I12"/>
    <mergeCell ref="C30:D3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showGridLines="0" zoomScaleNormal="100" workbookViewId="0">
      <selection sqref="A1:K1"/>
    </sheetView>
  </sheetViews>
  <sheetFormatPr defaultColWidth="8.6640625" defaultRowHeight="14.4" x14ac:dyDescent="0.3"/>
  <cols>
    <col min="1" max="1" width="6" customWidth="1"/>
    <col min="2" max="2" width="12" customWidth="1"/>
    <col min="3" max="3" width="15" customWidth="1"/>
    <col min="4" max="4" width="14" customWidth="1"/>
    <col min="5" max="5" width="35" customWidth="1"/>
    <col min="6" max="6" width="18" customWidth="1"/>
    <col min="7" max="7" width="14" customWidth="1"/>
    <col min="8" max="8" width="30" customWidth="1"/>
    <col min="9" max="10" width="12" customWidth="1"/>
    <col min="11" max="11" width="30" customWidth="1"/>
  </cols>
  <sheetData>
    <row r="1" spans="1:11" ht="36" customHeight="1" x14ac:dyDescent="0.3">
      <c r="A1" s="47" t="s">
        <v>188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19.5" customHeight="1" x14ac:dyDescent="0.3">
      <c r="A2" s="48" t="s">
        <v>189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21.75" customHeight="1" x14ac:dyDescent="0.3">
      <c r="A3" s="16" t="s">
        <v>190</v>
      </c>
      <c r="B3" s="16" t="s">
        <v>191</v>
      </c>
      <c r="C3" s="16" t="s">
        <v>192</v>
      </c>
      <c r="D3" s="16" t="s">
        <v>193</v>
      </c>
      <c r="E3" s="16" t="s">
        <v>194</v>
      </c>
      <c r="F3" s="16" t="s">
        <v>64</v>
      </c>
      <c r="G3" s="16" t="s">
        <v>195</v>
      </c>
      <c r="H3" s="16" t="s">
        <v>196</v>
      </c>
      <c r="I3" s="16" t="s">
        <v>197</v>
      </c>
      <c r="J3" s="16" t="s">
        <v>65</v>
      </c>
      <c r="K3" s="16" t="s">
        <v>198</v>
      </c>
    </row>
    <row r="4" spans="1:11" ht="30" customHeight="1" x14ac:dyDescent="0.3">
      <c r="A4" s="11">
        <v>1</v>
      </c>
      <c r="B4" s="11" t="s">
        <v>199</v>
      </c>
      <c r="C4" s="11" t="s">
        <v>22</v>
      </c>
      <c r="D4" s="11" t="s">
        <v>200</v>
      </c>
      <c r="E4" s="1" t="s">
        <v>201</v>
      </c>
      <c r="F4" s="11" t="s">
        <v>202</v>
      </c>
      <c r="G4" s="24" t="s">
        <v>203</v>
      </c>
      <c r="H4" s="1" t="s">
        <v>204</v>
      </c>
      <c r="I4" s="11" t="s">
        <v>200</v>
      </c>
      <c r="J4" s="17" t="s">
        <v>205</v>
      </c>
      <c r="K4" s="1" t="s">
        <v>206</v>
      </c>
    </row>
    <row r="5" spans="1:11" ht="30" customHeight="1" x14ac:dyDescent="0.3">
      <c r="A5" s="4">
        <v>2</v>
      </c>
      <c r="B5" s="4" t="s">
        <v>207</v>
      </c>
      <c r="C5" s="4" t="s">
        <v>22</v>
      </c>
      <c r="D5" s="4" t="s">
        <v>208</v>
      </c>
      <c r="E5" s="2" t="s">
        <v>209</v>
      </c>
      <c r="F5" s="4" t="s">
        <v>202</v>
      </c>
      <c r="G5" s="24" t="s">
        <v>203</v>
      </c>
      <c r="H5" s="2" t="s">
        <v>210</v>
      </c>
      <c r="I5" s="4" t="s">
        <v>208</v>
      </c>
      <c r="J5" s="17" t="s">
        <v>205</v>
      </c>
      <c r="K5" s="2" t="s">
        <v>211</v>
      </c>
    </row>
    <row r="6" spans="1:11" ht="30" customHeight="1" x14ac:dyDescent="0.3">
      <c r="A6" s="11">
        <v>3</v>
      </c>
      <c r="B6" s="11" t="s">
        <v>212</v>
      </c>
      <c r="C6" s="11" t="s">
        <v>22</v>
      </c>
      <c r="D6" s="11" t="s">
        <v>213</v>
      </c>
      <c r="E6" s="1" t="s">
        <v>214</v>
      </c>
      <c r="F6" s="11" t="s">
        <v>215</v>
      </c>
      <c r="G6" s="24" t="s">
        <v>203</v>
      </c>
      <c r="H6" s="1" t="s">
        <v>216</v>
      </c>
      <c r="I6" s="11" t="s">
        <v>213</v>
      </c>
      <c r="J6" s="17" t="s">
        <v>205</v>
      </c>
      <c r="K6" s="1" t="s">
        <v>217</v>
      </c>
    </row>
    <row r="7" spans="1:11" ht="30" customHeight="1" x14ac:dyDescent="0.3">
      <c r="A7" s="4">
        <v>4</v>
      </c>
      <c r="B7" s="4" t="s">
        <v>218</v>
      </c>
      <c r="C7" s="4" t="s">
        <v>22</v>
      </c>
      <c r="D7" s="4" t="s">
        <v>219</v>
      </c>
      <c r="E7" s="2" t="s">
        <v>220</v>
      </c>
      <c r="F7" s="4" t="s">
        <v>215</v>
      </c>
      <c r="G7" s="24" t="s">
        <v>221</v>
      </c>
      <c r="H7" s="2" t="s">
        <v>222</v>
      </c>
      <c r="I7" s="4" t="s">
        <v>219</v>
      </c>
      <c r="J7" s="17" t="s">
        <v>205</v>
      </c>
      <c r="K7" s="2" t="s">
        <v>223</v>
      </c>
    </row>
    <row r="8" spans="1:11" ht="30" customHeight="1" x14ac:dyDescent="0.3">
      <c r="A8" s="11">
        <v>5</v>
      </c>
      <c r="B8" s="11" t="s">
        <v>224</v>
      </c>
      <c r="C8" s="11" t="s">
        <v>22</v>
      </c>
      <c r="D8" s="11" t="s">
        <v>225</v>
      </c>
      <c r="E8" s="1" t="s">
        <v>226</v>
      </c>
      <c r="F8" s="11" t="s">
        <v>227</v>
      </c>
      <c r="G8" s="12" t="s">
        <v>228</v>
      </c>
      <c r="H8" s="1" t="s">
        <v>229</v>
      </c>
      <c r="I8" s="11" t="s">
        <v>225</v>
      </c>
      <c r="J8" s="17" t="s">
        <v>205</v>
      </c>
      <c r="K8" s="1" t="s">
        <v>230</v>
      </c>
    </row>
    <row r="9" spans="1:11" ht="30" customHeight="1" x14ac:dyDescent="0.3">
      <c r="A9" s="4">
        <v>6</v>
      </c>
      <c r="B9" s="4" t="s">
        <v>231</v>
      </c>
      <c r="C9" s="4" t="s">
        <v>22</v>
      </c>
      <c r="D9" s="4" t="s">
        <v>232</v>
      </c>
      <c r="E9" s="2" t="s">
        <v>233</v>
      </c>
      <c r="F9" s="4" t="s">
        <v>227</v>
      </c>
      <c r="G9" s="24" t="s">
        <v>203</v>
      </c>
      <c r="H9" s="2" t="s">
        <v>234</v>
      </c>
      <c r="I9" s="4" t="s">
        <v>232</v>
      </c>
      <c r="J9" s="17" t="s">
        <v>205</v>
      </c>
      <c r="K9" s="2" t="s">
        <v>235</v>
      </c>
    </row>
    <row r="10" spans="1:11" ht="30" customHeight="1" x14ac:dyDescent="0.3">
      <c r="A10" s="11">
        <v>7</v>
      </c>
      <c r="B10" s="11" t="s">
        <v>236</v>
      </c>
      <c r="C10" s="11" t="s">
        <v>22</v>
      </c>
      <c r="D10" s="11" t="s">
        <v>237</v>
      </c>
      <c r="E10" s="1" t="s">
        <v>238</v>
      </c>
      <c r="F10" s="11" t="s">
        <v>227</v>
      </c>
      <c r="G10" s="24" t="s">
        <v>239</v>
      </c>
      <c r="H10" s="1" t="s">
        <v>240</v>
      </c>
      <c r="I10" s="11" t="s">
        <v>237</v>
      </c>
      <c r="J10" s="17" t="s">
        <v>205</v>
      </c>
      <c r="K10" s="1" t="s">
        <v>241</v>
      </c>
    </row>
    <row r="11" spans="1:11" ht="30" customHeight="1" x14ac:dyDescent="0.3">
      <c r="A11" s="4">
        <v>8</v>
      </c>
      <c r="B11" s="4" t="s">
        <v>242</v>
      </c>
      <c r="C11" s="4" t="s">
        <v>22</v>
      </c>
      <c r="D11" s="4" t="s">
        <v>243</v>
      </c>
      <c r="E11" s="2" t="s">
        <v>244</v>
      </c>
      <c r="F11" s="4" t="s">
        <v>245</v>
      </c>
      <c r="G11" s="24" t="s">
        <v>203</v>
      </c>
      <c r="H11" s="2" t="s">
        <v>246</v>
      </c>
      <c r="I11" s="4" t="s">
        <v>243</v>
      </c>
      <c r="J11" s="17" t="s">
        <v>205</v>
      </c>
      <c r="K11" s="2" t="s">
        <v>247</v>
      </c>
    </row>
    <row r="12" spans="1:11" ht="30" customHeight="1" x14ac:dyDescent="0.3">
      <c r="A12" s="11">
        <v>9</v>
      </c>
      <c r="B12" s="11" t="s">
        <v>248</v>
      </c>
      <c r="C12" s="11" t="s">
        <v>22</v>
      </c>
      <c r="D12" s="11" t="s">
        <v>249</v>
      </c>
      <c r="E12" s="1" t="s">
        <v>250</v>
      </c>
      <c r="F12" s="11" t="s">
        <v>245</v>
      </c>
      <c r="G12" s="24" t="s">
        <v>239</v>
      </c>
      <c r="H12" s="1" t="s">
        <v>251</v>
      </c>
      <c r="I12" s="11" t="s">
        <v>249</v>
      </c>
      <c r="J12" s="17" t="s">
        <v>205</v>
      </c>
      <c r="K12" s="1" t="s">
        <v>252</v>
      </c>
    </row>
    <row r="13" spans="1:11" ht="30" customHeight="1" x14ac:dyDescent="0.3">
      <c r="A13" s="4">
        <v>10</v>
      </c>
      <c r="B13" s="4" t="s">
        <v>253</v>
      </c>
      <c r="C13" s="4" t="s">
        <v>22</v>
      </c>
      <c r="D13" s="4" t="s">
        <v>254</v>
      </c>
      <c r="E13" s="2" t="s">
        <v>255</v>
      </c>
      <c r="F13" s="4" t="s">
        <v>245</v>
      </c>
      <c r="G13" s="12" t="s">
        <v>228</v>
      </c>
      <c r="H13" s="2" t="s">
        <v>256</v>
      </c>
      <c r="I13" s="4" t="s">
        <v>254</v>
      </c>
      <c r="J13" s="17" t="s">
        <v>205</v>
      </c>
      <c r="K13" s="2" t="s">
        <v>257</v>
      </c>
    </row>
    <row r="14" spans="1:11" ht="19.5" customHeight="1" x14ac:dyDescent="0.3">
      <c r="A14" s="34" t="s">
        <v>258</v>
      </c>
      <c r="B14" s="32"/>
      <c r="C14" s="32"/>
      <c r="D14" s="32"/>
      <c r="E14" s="32"/>
      <c r="F14" s="32"/>
      <c r="G14" s="32"/>
      <c r="H14" s="32"/>
      <c r="I14" s="32"/>
      <c r="J14" s="25">
        <f>COUNTIF(J4:J13,"Closed")</f>
        <v>10</v>
      </c>
      <c r="K14" s="19" t="s">
        <v>259</v>
      </c>
    </row>
  </sheetData>
  <mergeCells count="3">
    <mergeCell ref="A2:K2"/>
    <mergeCell ref="A1:K1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showGridLines="0" tabSelected="1" topLeftCell="A10" zoomScaleNormal="100" workbookViewId="0">
      <selection sqref="A1:G1"/>
    </sheetView>
  </sheetViews>
  <sheetFormatPr defaultColWidth="8.6640625" defaultRowHeight="14.4" x14ac:dyDescent="0.3"/>
  <cols>
    <col min="1" max="1" width="6" customWidth="1"/>
    <col min="2" max="2" width="22" customWidth="1"/>
    <col min="3" max="3" width="40" customWidth="1"/>
    <col min="4" max="4" width="30" customWidth="1"/>
    <col min="5" max="6" width="35" customWidth="1"/>
    <col min="7" max="7" width="10" customWidth="1"/>
  </cols>
  <sheetData>
    <row r="1" spans="1:7" ht="36" customHeight="1" x14ac:dyDescent="0.3">
      <c r="A1" s="47" t="s">
        <v>260</v>
      </c>
      <c r="B1" s="32"/>
      <c r="C1" s="32"/>
      <c r="D1" s="32"/>
      <c r="E1" s="32"/>
      <c r="F1" s="32"/>
      <c r="G1" s="32"/>
    </row>
    <row r="2" spans="1:7" ht="19.5" customHeight="1" x14ac:dyDescent="0.3">
      <c r="A2" s="48" t="s">
        <v>261</v>
      </c>
      <c r="B2" s="32"/>
      <c r="C2" s="32"/>
      <c r="D2" s="32"/>
      <c r="E2" s="32"/>
      <c r="F2" s="32"/>
      <c r="G2" s="32"/>
    </row>
    <row r="3" spans="1:7" ht="21.75" customHeight="1" x14ac:dyDescent="0.3">
      <c r="A3" s="16" t="s">
        <v>190</v>
      </c>
      <c r="B3" s="16" t="s">
        <v>262</v>
      </c>
      <c r="C3" s="16" t="s">
        <v>263</v>
      </c>
      <c r="D3" s="16" t="s">
        <v>264</v>
      </c>
      <c r="E3" s="16" t="s">
        <v>265</v>
      </c>
      <c r="F3" s="16" t="s">
        <v>266</v>
      </c>
      <c r="G3" s="16" t="s">
        <v>65</v>
      </c>
    </row>
    <row r="4" spans="1:7" ht="34.5" customHeight="1" x14ac:dyDescent="0.3">
      <c r="A4" s="11">
        <v>1</v>
      </c>
      <c r="B4" s="1" t="s">
        <v>267</v>
      </c>
      <c r="C4" s="1" t="s">
        <v>268</v>
      </c>
      <c r="D4" s="1" t="s">
        <v>269</v>
      </c>
      <c r="E4" s="1" t="s">
        <v>270</v>
      </c>
      <c r="F4" s="1" t="s">
        <v>271</v>
      </c>
      <c r="G4" s="17" t="s">
        <v>272</v>
      </c>
    </row>
    <row r="5" spans="1:7" ht="34.5" customHeight="1" x14ac:dyDescent="0.3">
      <c r="A5" s="4">
        <v>2</v>
      </c>
      <c r="B5" s="2" t="s">
        <v>273</v>
      </c>
      <c r="C5" s="2" t="s">
        <v>274</v>
      </c>
      <c r="D5" s="2" t="s">
        <v>275</v>
      </c>
      <c r="E5" s="2" t="s">
        <v>276</v>
      </c>
      <c r="F5" s="2" t="s">
        <v>277</v>
      </c>
      <c r="G5" s="17" t="s">
        <v>272</v>
      </c>
    </row>
    <row r="6" spans="1:7" ht="34.5" customHeight="1" x14ac:dyDescent="0.3">
      <c r="A6" s="11">
        <v>3</v>
      </c>
      <c r="B6" s="1" t="s">
        <v>278</v>
      </c>
      <c r="C6" s="1" t="s">
        <v>279</v>
      </c>
      <c r="D6" s="1" t="s">
        <v>280</v>
      </c>
      <c r="E6" s="1" t="s">
        <v>281</v>
      </c>
      <c r="F6" s="1" t="s">
        <v>282</v>
      </c>
      <c r="G6" s="17" t="s">
        <v>272</v>
      </c>
    </row>
    <row r="7" spans="1:7" ht="34.5" customHeight="1" x14ac:dyDescent="0.3">
      <c r="A7" s="4">
        <v>4</v>
      </c>
      <c r="B7" s="2" t="s">
        <v>283</v>
      </c>
      <c r="C7" s="2" t="s">
        <v>284</v>
      </c>
      <c r="D7" s="2" t="s">
        <v>285</v>
      </c>
      <c r="E7" s="2" t="s">
        <v>286</v>
      </c>
      <c r="F7" s="2" t="s">
        <v>287</v>
      </c>
      <c r="G7" s="17" t="s">
        <v>272</v>
      </c>
    </row>
    <row r="8" spans="1:7" ht="34.5" customHeight="1" x14ac:dyDescent="0.3">
      <c r="A8" s="11">
        <v>5</v>
      </c>
      <c r="B8" s="1" t="s">
        <v>288</v>
      </c>
      <c r="C8" s="1" t="s">
        <v>289</v>
      </c>
      <c r="D8" s="1" t="s">
        <v>290</v>
      </c>
      <c r="E8" s="1" t="s">
        <v>291</v>
      </c>
      <c r="F8" s="1" t="s">
        <v>292</v>
      </c>
      <c r="G8" s="17" t="s">
        <v>272</v>
      </c>
    </row>
    <row r="9" spans="1:7" ht="34.5" customHeight="1" x14ac:dyDescent="0.3">
      <c r="A9" s="4">
        <v>6</v>
      </c>
      <c r="B9" s="2" t="s">
        <v>293</v>
      </c>
      <c r="C9" s="2" t="s">
        <v>294</v>
      </c>
      <c r="D9" s="2" t="s">
        <v>295</v>
      </c>
      <c r="E9" s="2" t="s">
        <v>296</v>
      </c>
      <c r="F9" s="2" t="s">
        <v>297</v>
      </c>
      <c r="G9" s="17" t="s">
        <v>272</v>
      </c>
    </row>
    <row r="10" spans="1:7" ht="34.5" customHeight="1" x14ac:dyDescent="0.3">
      <c r="A10" s="11">
        <v>7</v>
      </c>
      <c r="B10" s="1" t="s">
        <v>298</v>
      </c>
      <c r="C10" s="1" t="s">
        <v>299</v>
      </c>
      <c r="D10" s="1" t="s">
        <v>300</v>
      </c>
      <c r="E10" s="1" t="s">
        <v>301</v>
      </c>
      <c r="F10" s="1" t="s">
        <v>302</v>
      </c>
      <c r="G10" s="17" t="s">
        <v>272</v>
      </c>
    </row>
    <row r="11" spans="1:7" ht="34.5" customHeight="1" x14ac:dyDescent="0.3">
      <c r="A11" s="4">
        <v>8</v>
      </c>
      <c r="B11" s="2" t="s">
        <v>303</v>
      </c>
      <c r="C11" s="2" t="s">
        <v>304</v>
      </c>
      <c r="D11" s="2" t="s">
        <v>305</v>
      </c>
      <c r="E11" s="2" t="s">
        <v>306</v>
      </c>
      <c r="F11" s="2" t="s">
        <v>307</v>
      </c>
      <c r="G11" s="17" t="s">
        <v>272</v>
      </c>
    </row>
    <row r="12" spans="1:7" ht="34.5" customHeight="1" x14ac:dyDescent="0.3">
      <c r="A12" s="11">
        <v>9</v>
      </c>
      <c r="B12" s="1" t="s">
        <v>308</v>
      </c>
      <c r="C12" s="1" t="s">
        <v>309</v>
      </c>
      <c r="D12" s="1" t="s">
        <v>310</v>
      </c>
      <c r="E12" s="1" t="s">
        <v>311</v>
      </c>
      <c r="F12" s="1" t="s">
        <v>312</v>
      </c>
      <c r="G12" s="17" t="s">
        <v>272</v>
      </c>
    </row>
    <row r="13" spans="1:7" ht="34.5" customHeight="1" x14ac:dyDescent="0.3">
      <c r="A13" s="4">
        <v>10</v>
      </c>
      <c r="B13" s="2" t="s">
        <v>313</v>
      </c>
      <c r="C13" s="2" t="s">
        <v>314</v>
      </c>
      <c r="D13" s="2" t="s">
        <v>315</v>
      </c>
      <c r="E13" s="2" t="s">
        <v>316</v>
      </c>
      <c r="F13" s="2" t="s">
        <v>317</v>
      </c>
      <c r="G13" s="17" t="s">
        <v>272</v>
      </c>
    </row>
    <row r="14" spans="1:7" ht="34.5" customHeight="1" x14ac:dyDescent="0.3">
      <c r="A14" s="11">
        <v>11</v>
      </c>
      <c r="B14" s="1" t="s">
        <v>318</v>
      </c>
      <c r="C14" s="1" t="s">
        <v>319</v>
      </c>
      <c r="D14" s="1" t="s">
        <v>320</v>
      </c>
      <c r="E14" s="1" t="s">
        <v>321</v>
      </c>
      <c r="F14" s="1" t="s">
        <v>322</v>
      </c>
      <c r="G14" s="17" t="s">
        <v>272</v>
      </c>
    </row>
    <row r="15" spans="1:7" ht="34.5" customHeight="1" x14ac:dyDescent="0.3">
      <c r="A15" s="4">
        <v>12</v>
      </c>
      <c r="B15" s="2" t="s">
        <v>323</v>
      </c>
      <c r="C15" s="2" t="s">
        <v>324</v>
      </c>
      <c r="D15" s="2" t="s">
        <v>325</v>
      </c>
      <c r="E15" s="2" t="s">
        <v>326</v>
      </c>
      <c r="F15" s="2" t="s">
        <v>327</v>
      </c>
      <c r="G15" s="17" t="s">
        <v>272</v>
      </c>
    </row>
    <row r="16" spans="1:7" ht="34.5" customHeight="1" x14ac:dyDescent="0.3">
      <c r="A16" s="11">
        <v>13</v>
      </c>
      <c r="B16" s="1" t="s">
        <v>328</v>
      </c>
      <c r="C16" s="1" t="s">
        <v>329</v>
      </c>
      <c r="D16" s="1" t="s">
        <v>330</v>
      </c>
      <c r="E16" s="1" t="s">
        <v>331</v>
      </c>
      <c r="F16" s="1" t="s">
        <v>332</v>
      </c>
      <c r="G16" s="17" t="s">
        <v>272</v>
      </c>
    </row>
    <row r="17" spans="1:7" ht="34.5" customHeight="1" x14ac:dyDescent="0.3">
      <c r="A17" s="4">
        <v>14</v>
      </c>
      <c r="B17" s="2" t="s">
        <v>333</v>
      </c>
      <c r="C17" s="2" t="s">
        <v>334</v>
      </c>
      <c r="D17" s="2" t="s">
        <v>335</v>
      </c>
      <c r="E17" s="2" t="s">
        <v>336</v>
      </c>
      <c r="F17" s="2" t="s">
        <v>337</v>
      </c>
      <c r="G17" s="17" t="s">
        <v>272</v>
      </c>
    </row>
    <row r="18" spans="1:7" ht="34.5" customHeight="1" x14ac:dyDescent="0.3">
      <c r="A18" s="11">
        <v>15</v>
      </c>
      <c r="B18" s="1" t="s">
        <v>338</v>
      </c>
      <c r="C18" s="1" t="s">
        <v>339</v>
      </c>
      <c r="D18" s="1" t="s">
        <v>340</v>
      </c>
      <c r="E18" s="1" t="s">
        <v>341</v>
      </c>
      <c r="F18" s="1" t="s">
        <v>342</v>
      </c>
      <c r="G18" s="17" t="s">
        <v>272</v>
      </c>
    </row>
    <row r="19" spans="1:7" ht="34.5" customHeight="1" x14ac:dyDescent="0.3">
      <c r="A19" s="4">
        <v>16</v>
      </c>
      <c r="B19" s="2" t="s">
        <v>343</v>
      </c>
      <c r="C19" s="2" t="s">
        <v>344</v>
      </c>
      <c r="D19" s="2" t="s">
        <v>345</v>
      </c>
      <c r="E19" s="2" t="s">
        <v>346</v>
      </c>
      <c r="F19" s="2" t="s">
        <v>347</v>
      </c>
      <c r="G19" s="17" t="s">
        <v>129</v>
      </c>
    </row>
    <row r="20" spans="1:7" ht="34.5" customHeight="1" x14ac:dyDescent="0.3">
      <c r="A20" s="11">
        <v>17</v>
      </c>
      <c r="B20" s="1" t="s">
        <v>348</v>
      </c>
      <c r="C20" s="1" t="s">
        <v>349</v>
      </c>
      <c r="D20" s="1" t="s">
        <v>350</v>
      </c>
      <c r="E20" s="1" t="s">
        <v>351</v>
      </c>
      <c r="F20" s="1" t="s">
        <v>352</v>
      </c>
      <c r="G20" s="17" t="s">
        <v>272</v>
      </c>
    </row>
    <row r="21" spans="1:7" ht="34.5" customHeight="1" x14ac:dyDescent="0.3">
      <c r="A21" s="4">
        <v>18</v>
      </c>
      <c r="B21" s="2" t="s">
        <v>353</v>
      </c>
      <c r="C21" s="2" t="s">
        <v>354</v>
      </c>
      <c r="D21" s="2" t="s">
        <v>355</v>
      </c>
      <c r="E21" s="2" t="s">
        <v>356</v>
      </c>
      <c r="F21" s="2" t="s">
        <v>357</v>
      </c>
      <c r="G21" s="17" t="s">
        <v>272</v>
      </c>
    </row>
    <row r="22" spans="1:7" ht="21.75" customHeight="1" x14ac:dyDescent="0.3">
      <c r="A22" s="34" t="s">
        <v>358</v>
      </c>
      <c r="B22" s="32"/>
      <c r="C22" s="32"/>
      <c r="D22" s="32"/>
      <c r="E22" s="32"/>
      <c r="F22" s="48" t="str">
        <f>COUNTIF(G4:G21,"Pass")&amp;" Pass | "&amp;COUNTIF(G4:G21,"Pending")&amp;" Pending | "&amp;COUNTIF(G4:G21,"Fail")&amp;" Fail"</f>
        <v>17 Pass | 1 Pending | 0 Fail</v>
      </c>
      <c r="G22" s="32"/>
    </row>
  </sheetData>
  <mergeCells count="4">
    <mergeCell ref="A22:E22"/>
    <mergeCell ref="A2:G2"/>
    <mergeCell ref="F22:G2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showGridLines="0" zoomScaleNormal="100" workbookViewId="0"/>
  </sheetViews>
  <sheetFormatPr defaultColWidth="8.6640625" defaultRowHeight="14.4" x14ac:dyDescent="0.3"/>
  <cols>
    <col min="1" max="1" width="8" customWidth="1"/>
    <col min="2" max="2" width="20" customWidth="1"/>
    <col min="3" max="4" width="22" customWidth="1"/>
    <col min="5" max="5" width="20" customWidth="1"/>
    <col min="6" max="6" width="16" customWidth="1"/>
  </cols>
  <sheetData>
    <row r="1" spans="1:6" ht="36" customHeight="1" x14ac:dyDescent="0.3">
      <c r="A1" s="59" t="s">
        <v>359</v>
      </c>
      <c r="B1" s="32"/>
      <c r="C1" s="32"/>
      <c r="D1" s="32"/>
      <c r="E1" s="32"/>
      <c r="F1" s="32"/>
    </row>
    <row r="2" spans="1:6" ht="19.5" customHeight="1" x14ac:dyDescent="0.3">
      <c r="A2" s="48" t="s">
        <v>360</v>
      </c>
      <c r="B2" s="32"/>
      <c r="C2" s="32"/>
      <c r="D2" s="32"/>
      <c r="E2" s="32"/>
      <c r="F2" s="32"/>
    </row>
    <row r="3" spans="1:6" ht="21.75" customHeight="1" x14ac:dyDescent="0.3">
      <c r="A3" s="13" t="s">
        <v>361</v>
      </c>
      <c r="B3" s="13" t="s">
        <v>64</v>
      </c>
      <c r="C3" s="13" t="s">
        <v>362</v>
      </c>
      <c r="D3" s="13" t="s">
        <v>363</v>
      </c>
      <c r="E3" s="13" t="s">
        <v>364</v>
      </c>
      <c r="F3" s="13" t="s">
        <v>365</v>
      </c>
    </row>
    <row r="4" spans="1:6" ht="19.5" customHeight="1" x14ac:dyDescent="0.3">
      <c r="A4" s="14">
        <v>0</v>
      </c>
      <c r="B4" s="14" t="s">
        <v>366</v>
      </c>
      <c r="C4" s="14">
        <v>72</v>
      </c>
      <c r="D4" s="14">
        <v>72</v>
      </c>
      <c r="E4" s="14">
        <v>0</v>
      </c>
      <c r="F4" s="14">
        <v>0</v>
      </c>
    </row>
    <row r="5" spans="1:6" ht="19.5" customHeight="1" x14ac:dyDescent="0.3">
      <c r="A5" s="15">
        <v>1</v>
      </c>
      <c r="B5" s="15" t="s">
        <v>367</v>
      </c>
      <c r="C5" s="15">
        <v>63</v>
      </c>
      <c r="D5" s="15">
        <v>54</v>
      </c>
      <c r="E5" s="15">
        <v>18</v>
      </c>
      <c r="F5" s="15">
        <v>18</v>
      </c>
    </row>
    <row r="6" spans="1:6" ht="19.5" customHeight="1" x14ac:dyDescent="0.3">
      <c r="A6" s="14">
        <v>2</v>
      </c>
      <c r="B6" s="14" t="s">
        <v>368</v>
      </c>
      <c r="C6" s="14">
        <v>54</v>
      </c>
      <c r="D6" s="14">
        <v>36</v>
      </c>
      <c r="E6" s="14">
        <v>18</v>
      </c>
      <c r="F6" s="14">
        <v>36</v>
      </c>
    </row>
    <row r="7" spans="1:6" ht="19.5" customHeight="1" x14ac:dyDescent="0.3">
      <c r="A7" s="15">
        <v>3</v>
      </c>
      <c r="B7" s="15" t="s">
        <v>369</v>
      </c>
      <c r="C7" s="15">
        <v>45</v>
      </c>
      <c r="D7" s="15">
        <v>19</v>
      </c>
      <c r="E7" s="15">
        <v>17</v>
      </c>
      <c r="F7" s="15">
        <v>53</v>
      </c>
    </row>
    <row r="8" spans="1:6" ht="19.5" customHeight="1" x14ac:dyDescent="0.3">
      <c r="A8" s="14">
        <v>4</v>
      </c>
      <c r="B8" s="14" t="s">
        <v>370</v>
      </c>
      <c r="C8" s="14">
        <v>36</v>
      </c>
      <c r="D8" s="14">
        <v>5</v>
      </c>
      <c r="E8" s="14">
        <v>14</v>
      </c>
      <c r="F8" s="14">
        <v>67</v>
      </c>
    </row>
    <row r="9" spans="1:6" ht="19.5" customHeight="1" x14ac:dyDescent="0.3">
      <c r="A9" s="15">
        <v>5</v>
      </c>
      <c r="B9" s="15" t="s">
        <v>371</v>
      </c>
      <c r="C9" s="15">
        <v>27</v>
      </c>
      <c r="D9" s="15">
        <v>3</v>
      </c>
      <c r="E9" s="15">
        <v>10</v>
      </c>
      <c r="F9" s="15">
        <v>77</v>
      </c>
    </row>
    <row r="10" spans="1:6" ht="19.5" customHeight="1" x14ac:dyDescent="0.3">
      <c r="A10" s="14">
        <v>6</v>
      </c>
      <c r="B10" s="14" t="s">
        <v>372</v>
      </c>
      <c r="C10" s="14">
        <v>18</v>
      </c>
      <c r="D10" s="14">
        <v>0</v>
      </c>
      <c r="E10" s="14">
        <v>8</v>
      </c>
      <c r="F10" s="14">
        <v>85</v>
      </c>
    </row>
    <row r="11" spans="1:6" ht="19.5" customHeight="1" x14ac:dyDescent="0.3">
      <c r="A11" s="15">
        <v>7</v>
      </c>
      <c r="B11" s="15" t="s">
        <v>373</v>
      </c>
      <c r="C11" s="15">
        <v>9</v>
      </c>
      <c r="D11" s="15">
        <v>8</v>
      </c>
      <c r="E11" s="15">
        <v>5</v>
      </c>
      <c r="F11" s="15">
        <v>90</v>
      </c>
    </row>
    <row r="12" spans="1:6" ht="19.5" customHeight="1" x14ac:dyDescent="0.3">
      <c r="A12" s="14">
        <v>8</v>
      </c>
      <c r="B12" s="14" t="s">
        <v>374</v>
      </c>
      <c r="C12" s="14">
        <v>0</v>
      </c>
      <c r="D12" s="14">
        <v>3</v>
      </c>
      <c r="E12" s="14">
        <v>5</v>
      </c>
      <c r="F12" s="14">
        <v>95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Overview</vt:lpstr>
      <vt:lpstr>Product Backlog</vt:lpstr>
      <vt:lpstr>Sprint Plan</vt:lpstr>
      <vt:lpstr>Defect Tracker</vt:lpstr>
      <vt:lpstr>Unit Test Plan</vt:lpstr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pavithra n</cp:lastModifiedBy>
  <cp:revision>1</cp:revision>
  <dcterms:created xsi:type="dcterms:W3CDTF">2026-04-09T17:17:07Z</dcterms:created>
  <dcterms:modified xsi:type="dcterms:W3CDTF">2026-04-09T17:26:59Z</dcterms:modified>
  <dc:language>en-US</dc:language>
</cp:coreProperties>
</file>